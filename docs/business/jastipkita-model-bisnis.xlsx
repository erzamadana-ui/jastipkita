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Asumsi" sheetId="2" state="visible" r:id="rId4"/>
    <sheet name="Unit Economics" sheetId="3" state="visible" r:id="rId5"/>
    <sheet name="Proyeksi 24 Bulan" sheetId="4" state="visible" r:id="rId6"/>
    <sheet name="Sensitivitas" sheetId="5" state="visible" r:id="rId7"/>
    <sheet name="Sumb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<sst xmlns="http://schemas.openxmlformats.org/spreadsheetml/2006/main" count="1602" uniqueCount="886">
  <si>
    <t xml:space="preserve">JastipKita — Model Bisnis &amp; Proyeksi Keuangan 24 Bulan</t>
  </si>
  <si>
    <t xml:space="preserve">Untuk Direksi &amp; Dewan Komisaris. Pra-launch: seluruh integrasi MOCK/SANDBOX, belum ada transaksi nyata. Bukan nasihat keuangan/investasi; angka berstatus ASUMSI wajib diganti data beta.</t>
  </si>
  <si>
    <t xml:space="preserve">Soft launch (Bulan 1):</t>
  </si>
  <si>
    <t xml:space="preserve">KPI</t>
  </si>
  <si>
    <t xml:space="preserve">Satuan</t>
  </si>
  <si>
    <t xml:space="preserve">Konservatif</t>
  </si>
  <si>
    <t xml:space="preserve">Dasar</t>
  </si>
  <si>
    <t xml:space="preserve">Optimis</t>
  </si>
  <si>
    <t xml:space="preserve">Skenario aktif</t>
  </si>
  <si>
    <t xml:space="preserve">Definisi / catatan</t>
  </si>
  <si>
    <t xml:space="preserve">Volume</t>
  </si>
  <si>
    <t xml:space="preserve">Transaksi selesai — Tahun 1</t>
  </si>
  <si>
    <t xml:space="preserve">transaksi</t>
  </si>
  <si>
    <t xml:space="preserve">B1–B12, status COMPLETED</t>
  </si>
  <si>
    <t xml:space="preserve">Transaksi selesai — Tahun 2</t>
  </si>
  <si>
    <t xml:space="preserve">B13–B24</t>
  </si>
  <si>
    <t xml:space="preserve">Transaksi selesai — Bulan 24</t>
  </si>
  <si>
    <t xml:space="preserve">trx/bulan</t>
  </si>
  <si>
    <t xml:space="preserve">run-rate akhir periode</t>
  </si>
  <si>
    <t xml:space="preserve">Traveler aktif — Bulan 24</t>
  </si>
  <si>
    <t xml:space="preserve">orang</t>
  </si>
  <si>
    <t xml:space="preserve">traveler dengan trip aktif</t>
  </si>
  <si>
    <t xml:space="preserve">Basis pembeli — Bulan 24</t>
  </si>
  <si>
    <t xml:space="preserve">setelah churn</t>
  </si>
  <si>
    <t xml:space="preserve">Fill rate (likuiditas) — Tahun 2</t>
  </si>
  <si>
    <t xml:space="preserve">%</t>
  </si>
  <si>
    <t xml:space="preserve">transaksi dibayar ÷ permintaan</t>
  </si>
  <si>
    <t xml:space="preserve">Sisi pembatas — Bulan 24</t>
  </si>
  <si>
    <t xml:space="preserve">teks</t>
  </si>
  <si>
    <t xml:space="preserve">Pasokan = traveler kurang; Permintaan = pembeli kurang</t>
  </si>
  <si>
    <t xml:space="preserve">Nilai &amp; pendapatan (Rp juta)</t>
  </si>
  <si>
    <t xml:space="preserve">GMV — Tahun 1</t>
  </si>
  <si>
    <t xml:space="preserve">Rp juta</t>
  </si>
  <si>
    <t xml:space="preserve">Σ TOTAL transaksi selesai (launch-plan §8), sebelum promo &amp; credit</t>
  </si>
  <si>
    <t xml:space="preserve">GMV — Tahun 2</t>
  </si>
  <si>
    <t xml:space="preserve">GMV run-rate tahunan — Bulan 24</t>
  </si>
  <si>
    <t xml:space="preserve">GMV bulan 24 × 12</t>
  </si>
  <si>
    <t xml:space="preserve">Take rate bruto — Tahun 2</t>
  </si>
  <si>
    <t xml:space="preserve">(platform + protection fee) ÷ GMV</t>
  </si>
  <si>
    <t xml:space="preserve">Take rate bersih — Tahun 2</t>
  </si>
  <si>
    <t xml:space="preserve">setelah promo &amp; credit referral</t>
  </si>
  <si>
    <t xml:space="preserve">Pendapatan bersih — Tahun 1</t>
  </si>
  <si>
    <t xml:space="preserve">bea, pajak impor, PPN, harga barang &amp; traveler fee = pass-through</t>
  </si>
  <si>
    <t xml:space="preserve">Pendapatan bersih — Tahun 2</t>
  </si>
  <si>
    <t xml:space="preserve">Unit economics per transaksi representatif (Rp)</t>
  </si>
  <si>
    <t xml:space="preserve">Nilai barang rata-rata</t>
  </si>
  <si>
    <t xml:space="preserve">Rp</t>
  </si>
  <si>
    <t xml:space="preserve">ASUMSI skenario</t>
  </si>
  <si>
    <t xml:space="preserve">TOTAL dibayar pembeli (11 baris)</t>
  </si>
  <si>
    <t xml:space="preserve">Unit Economics baris 11</t>
  </si>
  <si>
    <t xml:space="preserve">Pendapatan bruto platform</t>
  </si>
  <si>
    <t xml:space="preserve">platform fee 5% + protection 1,5% (clamp config)</t>
  </si>
  <si>
    <t xml:space="preserve">Subsidi kanal pembayaran</t>
  </si>
  <si>
    <t xml:space="preserve">biaya Xendit publik − biaya dibebankan (launch-checklist B4)</t>
  </si>
  <si>
    <t xml:space="preserve">Margin kontribusi per transaksi</t>
  </si>
  <si>
    <t xml:space="preserve">setelah promo, referral, subsidi, payout, klaim, CS, chargeback, batal</t>
  </si>
  <si>
    <t xml:space="preserve">Margin kontribusi ÷ pendapatan bersih</t>
  </si>
  <si>
    <t xml:space="preserve">BEP transaksi/bulan (biaya tetap + marketing)</t>
  </si>
  <si>
    <t xml:space="preserve">rata-rata biaya Th2 (tanpa biaya sekali) ÷ margin kontribusi per transaksi</t>
  </si>
  <si>
    <t xml:space="preserve">BEP transaksi/bulan (hanya biaya tetap)</t>
  </si>
  <si>
    <t xml:space="preserve">tanpa marketing</t>
  </si>
  <si>
    <t xml:space="preserve">Transaksi Bulan 24 ÷ BEP (biaya tetap + marketing)</t>
  </si>
  <si>
    <t xml:space="preserve">≥ 100% = volume sudah menutup biaya</t>
  </si>
  <si>
    <t xml:space="preserve">Status CAC vs LTV 12 bulan</t>
  </si>
  <si>
    <t xml:space="preserve">guardrail config: CAC ≤ 0,33 × LTV</t>
  </si>
  <si>
    <t xml:space="preserve">Laba &amp; kas (Rp juta)</t>
  </si>
  <si>
    <t xml:space="preserve">Margin kontribusi — Tahun 1</t>
  </si>
  <si>
    <t xml:space="preserve">Margin kontribusi — Tahun 2</t>
  </si>
  <si>
    <t xml:space="preserve">EBITDA — Bulan 0 (pra-peluncuran)</t>
  </si>
  <si>
    <t xml:space="preserve">biaya sekali + tim &amp; infra pra-launch</t>
  </si>
  <si>
    <t xml:space="preserve">EBITDA — Tahun 1</t>
  </si>
  <si>
    <t xml:space="preserve">pra-pajak</t>
  </si>
  <si>
    <t xml:space="preserve">EBITDA — Tahun 2</t>
  </si>
  <si>
    <t xml:space="preserve">EBITDA — Bulan 24</t>
  </si>
  <si>
    <t xml:space="preserve">Puncak kebutuhan kas (peak cash burn)</t>
  </si>
  <si>
    <t xml:space="preserve">titik terendah kas kumulatif B0–B24 (sebelum buffer)</t>
  </si>
  <si>
    <t xml:space="preserve">Bulan puncak kebutuhan kas</t>
  </si>
  <si>
    <t xml:space="preserve">bulan ke-</t>
  </si>
  <si>
    <t xml:space="preserve">24 = kas masih turun di akhir periode</t>
  </si>
  <si>
    <t xml:space="preserve">Bulan BEP pertama (EBITDA bulanan ≥ 0)</t>
  </si>
  <si>
    <t xml:space="preserve">Periode BEP pertama</t>
  </si>
  <si>
    <t xml:space="preserve">bulan</t>
  </si>
  <si>
    <t xml:space="preserve">Kas kumulatif akhir Bulan 24</t>
  </si>
  <si>
    <t xml:space="preserve">negatif = total dana yang sudah terpakai</t>
  </si>
  <si>
    <t xml:space="preserve">Temuan utama (angka dihitung ulang otomatis dari tabel di atas)</t>
  </si>
  <si>
    <t xml:space="preserve">8. Pendapatan platform hanya platform fee + protection fee. Harga barang, traveler fee, bea masuk &amp; pajak impor (±27,6% nilai barang), PPN layanan dan biaya kanal bayar adalah pass-through; markup kurs bukan pendapatan.</t>
  </si>
  <si>
    <t xml:space="preserve">9. Asumsi dengan dampak terbesar: pasokan traveler (traveler baru &amp; pesanan per traveler), CAC, biaya SDM, rata-rata nilai barang, dan biaya payout Xendit — semuanya belum didukung data. Ganti dengan data beta 1A/1B sebelum keputusan pendanaan.</t>
  </si>
  <si>
    <t xml:space="preserve">Kas kumulatif per skenario (Rp juta) — sumber grafik</t>
  </si>
  <si>
    <t xml:space="preserve">Bulan ke-</t>
  </si>
  <si>
    <t xml:space="preserve">Catatan keterbatasan data: tidak ada data pasar jastip yang kredibel (research 04); volume, CAC, churn, biaya SDM, biaya sekali dan sebagian tarif (payout Xendit, bauran kanal, loss ratio) adalah ASUMSI; tarif Xendit = harga publik 2026-10-04, bukan kontrak; tarif bea/pajak = seed DRAFT (PMK 34/2025) sampai diverifikasi konsultan; model pra-pajak (PPh Badan tidak dimodelkan). Rincian di sheet Sumber.</t>
  </si>
  <si>
    <t xml:space="preserve">Asumsi &amp; Input Model — JastipKita</t>
  </si>
  <si>
    <t xml:space="preserve">Semua angka model berasal dari sel di sheet ini. Kolom Konservatif/Dasar/Optimis dapat diubah; kolom Aktif mengikuti pemilih skenario.</t>
  </si>
  <si>
    <t xml:space="preserve">Pemilih skenario aktif →</t>
  </si>
  <si>
    <t xml:space="preserve">Legenda:</t>
  </si>
  <si>
    <t xml:space="preserve">Biru = input</t>
  </si>
  <si>
    <t xml:space="preserve">Hitam = rumus</t>
  </si>
  <si>
    <t xml:space="preserve">Indeks skenario aktif (1/2/3)</t>
  </si>
  <si>
    <t xml:space="preserve">Hijau = tautan antar-sheet</t>
  </si>
  <si>
    <t xml:space="preserve">Kuning = asumsi kunci / pemilih</t>
  </si>
  <si>
    <t xml:space="preserve">Status: SUMBER = dari repo/URL (lihat sheet Sumber) · ASUMSI = belum ada data · USULAN = proposal launch plan yang belum disetujui owner · CEK = pemeriksaan otomatis.</t>
  </si>
  <si>
    <t xml:space="preserve">ID</t>
  </si>
  <si>
    <t xml:space="preserve">Parameter</t>
  </si>
  <si>
    <t xml:space="preserve">Aktif</t>
  </si>
  <si>
    <t xml:space="preserve">Status</t>
  </si>
  <si>
    <t xml:space="preserve">Sumber / catatan</t>
  </si>
  <si>
    <t xml:space="preserve">1. Pengaturan model</t>
  </si>
  <si>
    <t xml:space="preserve">P001</t>
  </si>
  <si>
    <t xml:space="preserve">Bulan pertama soft launch (Bulan 1)</t>
  </si>
  <si>
    <t xml:space="preserve">tanggal</t>
  </si>
  <si>
    <t xml:space="preserve">ASUMSI</t>
  </si>
  <si>
    <t xml:space="preserve">launch-plan §1/§9: soft launch = minggu ke-7 setelah dogfood. Semua gerbang P0 masih BELUM per 2026-09-28 (launch-checklist) → diasumsikan PT/NIB, PSE, kontrak Xendit &amp; beta selesai ±4 bulan.</t>
  </si>
  <si>
    <t xml:space="preserve">P002</t>
  </si>
  <si>
    <t xml:space="preserve">Bulan biaya pra-peluncuran yang dibebankan di Bulan 0</t>
  </si>
  <si>
    <t xml:space="preserve">SDM inti + infrastruktur beta (fase 0–1B launch plan) sebelum Bulan 1.</t>
  </si>
  <si>
    <t xml:space="preserve">P003</t>
  </si>
  <si>
    <t xml:space="preserve">Kurs USD/IDR untuk biaya dalam USD</t>
  </si>
  <si>
    <t xml:space="preserve">Rp/USD</t>
  </si>
  <si>
    <t xml:space="preserve">SUMBER</t>
  </si>
  <si>
    <t xml:space="preserve">JISDOR 25–27 Sep 2026 — docs/research/01-customs-tax-indonesia.md §4.</t>
  </si>
  <si>
    <t xml:space="preserve">P004</t>
  </si>
  <si>
    <t xml:space="preserve">Lag penerimaan fee platform (0 = bulan yang sama, 1 = bulan berikutnya)</t>
  </si>
  <si>
    <t xml:space="preserve">Fee diambil saat release setelah BUYER_CONFIRMED (research 02 §5/§10; ledger COMPLETION_RELEASE di docs/04-payments-ledger.md). Siklus trip + serah terima ±2–5 minggu.</t>
  </si>
  <si>
    <t xml:space="preserve">2. Konfigurasi harga platform — packages/core/src/config/business-config.defaults.json (v1)</t>
  </si>
  <si>
    <t xml:space="preserve">P005</t>
  </si>
  <si>
    <t xml:space="preserve">Platform fee — tarif</t>
  </si>
  <si>
    <t xml:space="preserve">% nilai barang</t>
  </si>
  <si>
    <t xml:space="preserve">pricing.platform_fee.rateBps = 500.</t>
  </si>
  <si>
    <t xml:space="preserve">P006</t>
  </si>
  <si>
    <t xml:space="preserve">Platform fee — minimum</t>
  </si>
  <si>
    <t xml:space="preserve">pricing.platform_fee.minIdr.</t>
  </si>
  <si>
    <t xml:space="preserve">P007</t>
  </si>
  <si>
    <t xml:space="preserve">Platform fee — maksimum</t>
  </si>
  <si>
    <t xml:space="preserve">pricing.platform_fee.maxIdr.</t>
  </si>
  <si>
    <t xml:space="preserve">P008</t>
  </si>
  <si>
    <t xml:space="preserve">JastipKita Protection — tarif</t>
  </si>
  <si>
    <t xml:space="preserve">pricing.protection_fee.rateBps = 150. Belum ada mitra asuransi (INSURANCE_PROVIDER=mock; launch-checklist L9).</t>
  </si>
  <si>
    <t xml:space="preserve">P009</t>
  </si>
  <si>
    <t xml:space="preserve">Protection fee — minimum</t>
  </si>
  <si>
    <t xml:space="preserve">pricing.protection_fee.minIdr.</t>
  </si>
  <si>
    <t xml:space="preserve">P010</t>
  </si>
  <si>
    <t xml:space="preserve">Protection fee — maksimum</t>
  </si>
  <si>
    <t xml:space="preserve">pricing.protection_fee.maxIdr.</t>
  </si>
  <si>
    <t xml:space="preserve">P011</t>
  </si>
  <si>
    <t xml:space="preserve">PPN atas layanan — tarif</t>
  </si>
  <si>
    <t xml:space="preserve">pricing.service_tax.rate (berlaku atas PLATFORM_FEE + PROTECTION_FEE).</t>
  </si>
  <si>
    <t xml:space="preserve">P012</t>
  </si>
  <si>
    <t xml:space="preserve">PPN atas layanan — faktor DPP (11/12)</t>
  </si>
  <si>
    <t xml:space="preserve">faktor</t>
  </si>
  <si>
    <t xml:space="preserve">pricing.service_tax.dppFactor; PMK 131/2024.</t>
  </si>
  <si>
    <t xml:space="preserve">P013</t>
  </si>
  <si>
    <t xml:space="preserve">PPN layanan dipungut? (1 = ya/PKP, 0 = tidak)</t>
  </si>
  <si>
    <t xml:space="preserve">1/0</t>
  </si>
  <si>
    <t xml:space="preserve">Config enabled=true. Hanya boleh dipungut bila PT sudah PKP (launch-checklist L8); wajib PKP bila omzet &gt; Rp4,8 M/tahun (research 05 §4). Pass-through — tidak mengubah pendapatan bersih.</t>
  </si>
  <si>
    <t xml:space="preserve">P014</t>
  </si>
  <si>
    <t xml:space="preserve">Traveler fee — minimum</t>
  </si>
  <si>
    <t xml:space="preserve">pricing.traveler_fee_bounds.minIdr.</t>
  </si>
  <si>
    <t xml:space="preserve">P015</t>
  </si>
  <si>
    <t xml:space="preserve">Traveler fee — maksimum (% nilai barang)</t>
  </si>
  <si>
    <t xml:space="preserve">pricing.traveler_fee_bounds.maxRateBps = 3000.</t>
  </si>
  <si>
    <t xml:space="preserve">P016</t>
  </si>
  <si>
    <t xml:space="preserve">Nilai barang minimum per transaksi</t>
  </si>
  <si>
    <t xml:space="preserve">pricing.minimum_transaction.minItemValueIdr.</t>
  </si>
  <si>
    <t xml:space="preserve">P017</t>
  </si>
  <si>
    <t xml:space="preserve">Markup kurs (informasi — BUKAN pendapatan)</t>
  </si>
  <si>
    <t xml:space="preserve">pricing.fx_markup.defaultBps = 150 (KRW 200). Selisih dana barang dikembalikan ke pembeli saat COMPLETION_RELEASE (docs/04-payments-ledger.md §3) → tidak dihitung sebagai pendapatan.</t>
  </si>
  <si>
    <t xml:space="preserve">3. Biaya pembayaran yang DIBEBANKAN ke pembeli — config pricing.payment_fees (bearer BUYER, gross-up di pricing/index.ts)</t>
  </si>
  <si>
    <t xml:space="preserve">P018</t>
  </si>
  <si>
    <t xml:space="preserve">VA — biaya tetap dibebankan</t>
  </si>
  <si>
    <t xml:space="preserve">pricing.payment_fees.channels.VA.fixedIdr (bertanda asumsi di config sampai kontrak Xendit).</t>
  </si>
  <si>
    <t xml:space="preserve">P019</t>
  </si>
  <si>
    <t xml:space="preserve">VA — tarif persen dibebankan</t>
  </si>
  <si>
    <t xml:space="preserve">VA.rateBps = 0.</t>
  </si>
  <si>
    <t xml:space="preserve">P020</t>
  </si>
  <si>
    <t xml:space="preserve">QRIS — biaya tetap dibebankan</t>
  </si>
  <si>
    <t xml:space="preserve">QRIS.fixedIdr = 0.</t>
  </si>
  <si>
    <t xml:space="preserve">P021</t>
  </si>
  <si>
    <t xml:space="preserve">QRIS — tarif persen dibebankan</t>
  </si>
  <si>
    <t xml:space="preserve">QRIS.rateBps = 70.</t>
  </si>
  <si>
    <t xml:space="preserve">P022</t>
  </si>
  <si>
    <t xml:space="preserve">E-wallet — biaya tetap dibebankan</t>
  </si>
  <si>
    <t xml:space="preserve">EWALLET.fixedIdr = 0.</t>
  </si>
  <si>
    <t xml:space="preserve">P023</t>
  </si>
  <si>
    <t xml:space="preserve">E-wallet — tarif persen dibebankan</t>
  </si>
  <si>
    <t xml:space="preserve">EWALLET.rateBps = 150.</t>
  </si>
  <si>
    <t xml:space="preserve">P024</t>
  </si>
  <si>
    <t xml:space="preserve">Kartu — biaya tetap dibebankan</t>
  </si>
  <si>
    <t xml:space="preserve">CARD.fixedIdr = 2000.</t>
  </si>
  <si>
    <t xml:space="preserve">P025</t>
  </si>
  <si>
    <t xml:space="preserve">Kartu — tarif persen dibebankan</t>
  </si>
  <si>
    <t xml:space="preserve">CARD.rateBps = 290.</t>
  </si>
  <si>
    <t xml:space="preserve">4. Biaya Xendit — tarif publik (bukan kontrak). research 02 §8 (2026-09-27) + xendit.co/en-id/pricing diverifikasi ulang 2026-10-04</t>
  </si>
  <si>
    <t xml:space="preserve">P026</t>
  </si>
  <si>
    <t xml:space="preserve">VA — fee metode</t>
  </si>
  <si>
    <t xml:space="preserve">Xendit pricing: VA Rp9.000 + processing Rp4.000 (exclusive of taxes).</t>
  </si>
  <si>
    <t xml:space="preserve">P027</t>
  </si>
  <si>
    <t xml:space="preserve">Processing fee Xendit per transaksi (semua metode &amp; payout)</t>
  </si>
  <si>
    <t xml:space="preserve">Xendit pricing (2026-10-04).</t>
  </si>
  <si>
    <t xml:space="preserve">P028</t>
  </si>
  <si>
    <t xml:space="preserve">QRIS — fee metode (sudah termasuk PPN)</t>
  </si>
  <si>
    <t xml:space="preserve">Xendit pricing: 0,70% inclusive of VAT + Rp4.000.</t>
  </si>
  <si>
    <t xml:space="preserve">P029</t>
  </si>
  <si>
    <t xml:space="preserve">E-wallet — fee metode (rata-rata tertimbang)</t>
  </si>
  <si>
    <t xml:space="preserve">Dalam rentang publik: OVO 3,00–5,50%, DANA 2,00–3,50% (berubah dari 3,00–3,50% di research 02), ShopeePay 2,50–3,60%, GoPay 3,00–5,00% + Rp4.000.</t>
  </si>
  <si>
    <t xml:space="preserve">P030</t>
  </si>
  <si>
    <t xml:space="preserve">Kartu — fee persen</t>
  </si>
  <si>
    <t xml:space="preserve">Visa/MC/JCB 2,90% + Rp2.000 + Rp4.000.</t>
  </si>
  <si>
    <t xml:space="preserve">P031</t>
  </si>
  <si>
    <t xml:space="preserve">Kartu — fee tetap</t>
  </si>
  <si>
    <t xml:space="preserve">Xendit pricing.</t>
  </si>
  <si>
    <t xml:space="preserve">P032</t>
  </si>
  <si>
    <t xml:space="preserve">PPN atas fee Xendit (efektif)</t>
  </si>
  <si>
    <t xml:space="preserve">Tarif Xendit 'exclusive of taxes'; 12% × DPP 11/12 = 11% (contoh hitung research 02 §8). Diperlakukan sebagai biaya (asumsi: pajak masukan tidak dikreditkan).</t>
  </si>
  <si>
    <t xml:space="preserve">P033</t>
  </si>
  <si>
    <t xml:space="preserve">Payout ke traveler/refund — komponen tetap</t>
  </si>
  <si>
    <t xml:space="preserve">Konservatif = tarif publik (processing Rp4.000 + 1%, min Rp2.500; NEEDS_VERIFICATION). Dasar/Optimis = launch-plan §4 ASUMSI ±Rp5.000 termasuk PPN.</t>
  </si>
  <si>
    <t xml:space="preserve">P034</t>
  </si>
  <si>
    <t xml:space="preserve">Payout — komponen persen atas nilai yang dibayarkan</t>
  </si>
  <si>
    <t xml:space="preserve">Publik: 1,00% (min Rp2.500) — struktur tidak lazim, NEEDS_VERIFICATION (research 02 §8). Config money.policy.payoutFeeIdr = 0 → ditanggung platform.</t>
  </si>
  <si>
    <t xml:space="preserve">P035</t>
  </si>
  <si>
    <t xml:space="preserve">Payout — minimum komponen persen</t>
  </si>
  <si>
    <t xml:space="preserve">P036</t>
  </si>
  <si>
    <t xml:space="preserve">Batas nominal QRIS per transaksi</t>
  </si>
  <si>
    <t xml:space="preserve">research 02 §1.3 (docs.xendit.co/docs/qris.md).</t>
  </si>
  <si>
    <t xml:space="preserve">P037</t>
  </si>
  <si>
    <t xml:space="preserve">Biaya chargeback kartu</t>
  </si>
  <si>
    <t xml:space="preserve">USD</t>
  </si>
  <si>
    <t xml:space="preserve">research 02 §8.</t>
  </si>
  <si>
    <t xml:space="preserve">P038</t>
  </si>
  <si>
    <t xml:space="preserve">Tingkat chargeback (porsi transaksi kartu)</t>
  </si>
  <si>
    <t xml:space="preserve">Tidak ada data; tinjau setelah 90 hari.</t>
  </si>
  <si>
    <t xml:space="preserve">5. Bauran kanal pembayaran (ASUMSI — tidak ada data; total harus 100%)</t>
  </si>
  <si>
    <t xml:space="preserve">P039</t>
  </si>
  <si>
    <t xml:space="preserve">Porsi Virtual Account</t>
  </si>
  <si>
    <t xml:space="preserve">VA termurah untuk tiket besar tetapi tidak bisa refund (research 02 §4/§8).</t>
  </si>
  <si>
    <t xml:space="preserve">P040</t>
  </si>
  <si>
    <t xml:space="preserve">Porsi QRIS</t>
  </si>
  <si>
    <t xml:space="preserve">QRIS maks Rp10 jt/transaksi.</t>
  </si>
  <si>
    <t xml:space="preserve">P041</t>
  </si>
  <si>
    <t xml:space="preserve">Porsi e-wallet</t>
  </si>
  <si>
    <t xml:space="preserve">P042</t>
  </si>
  <si>
    <t xml:space="preserve">Porsi kartu</t>
  </si>
  <si>
    <t xml:space="preserve">P043</t>
  </si>
  <si>
    <t xml:space="preserve">Cek: total bauran</t>
  </si>
  <si>
    <t xml:space="preserve">CEK</t>
  </si>
  <si>
    <t xml:space="preserve">Harus 100%.</t>
  </si>
  <si>
    <t xml:space="preserve">6. Transaksi representatif &amp; pajak impor (pass-through)</t>
  </si>
  <si>
    <t xml:space="preserve">P044</t>
  </si>
  <si>
    <t xml:space="preserve">Rata-rata nilai barang per transaksi (sudah dalam IDR kurs quote)</t>
  </si>
  <si>
    <t xml:space="preserve">Tidak ada data pasar kredibel (research 04). launch-plan §4 memakai Rp1 jt / 2,5 jt / 5 jt sebagai ilustrasi; skincare/snack rendah, fashion/elektronik tinggi.</t>
  </si>
  <si>
    <t xml:space="preserve">P045</t>
  </si>
  <si>
    <t xml:space="preserve">Traveler fee (% nilai barang)</t>
  </si>
  <si>
    <t xml:space="preserve">launch-plan §4; research 04 §1.2: lazim 5–15%. Dibatasi config min Rp25.000 &amp; maks 30%.</t>
  </si>
  <si>
    <t xml:space="preserve">P046</t>
  </si>
  <si>
    <t xml:space="preserve">Bea masuk barang jastip (non-pribadi)</t>
  </si>
  <si>
    <t xml:space="preserve">PMK 34/2025 Pasal 24(3): 10% flat atas seluruh nilai pabean, tanpa pembebasan USD 500; seed 0100 ID_PAX_NON_PERSONAL v1 (DRAFT sampai diverifikasi konsultan — L7).</t>
  </si>
  <si>
    <t xml:space="preserve">P047</t>
  </si>
  <si>
    <t xml:space="preserve">PPN impor — tarif</t>
  </si>
  <si>
    <t xml:space="preserve">PMK 131/2024 Pasal 3 (non-mewah).</t>
  </si>
  <si>
    <t xml:space="preserve">P048</t>
  </si>
  <si>
    <t xml:space="preserve">PPN impor — faktor DPP</t>
  </si>
  <si>
    <t xml:space="preserve">Seed 0100 vat_dpp_factor (11/12).</t>
  </si>
  <si>
    <t xml:space="preserve">P049</t>
  </si>
  <si>
    <t xml:space="preserve">PPh 22 impor (dengan NPWP)</t>
  </si>
  <si>
    <t xml:space="preserve">PMK 34/2025 Pasal 24(3). Tanpa NPWP 10% = NEEDS_VERIFICATION (research 01 §3.3). Pembulatan CEIL_1000 semua komponen (seed).</t>
  </si>
  <si>
    <t xml:space="preserve">7. Biaya variabel &amp; promo (ASUMSI)</t>
  </si>
  <si>
    <t xml:space="preserve">P050</t>
  </si>
  <si>
    <t xml:space="preserve">Transaksi batal setelah bayar (porsi transaksi dibayar)</t>
  </si>
  <si>
    <t xml:space="preserve">launch-plan §4: 5%; gerbang soft launch refund rate &lt; 8%. Transaksi batal = pendapatan 0, biaya Xendit hangus + refund.</t>
  </si>
  <si>
    <t xml:space="preserve">P051</t>
  </si>
  <si>
    <t xml:space="preserve">Loss ratio klaim JastipKita Protection</t>
  </si>
  <si>
    <t xml:space="preserve">% protection fee</t>
  </si>
  <si>
    <t xml:space="preserve">launch-plan §4: 40%. Tanpa data klaim; mitra asuransi belum ada (L9).</t>
  </si>
  <si>
    <t xml:space="preserve">P052</t>
  </si>
  <si>
    <t xml:space="preserve">CS &amp; operasional per transaksi selesai</t>
  </si>
  <si>
    <t xml:space="preserve">launch-plan §4: Rp10.000. Menutup agen CS tambahan di atas tim inti.</t>
  </si>
  <si>
    <t xml:space="preserve">P053</t>
  </si>
  <si>
    <t xml:space="preserve">Porsi transaksi dengan platform fee gratis — Bulan 1–6</t>
  </si>
  <si>
    <t xml:space="preserve">Program 'Jastiper Pro': promo platform fee 3 transaksi pertama (launch-plan §2). Kontra-pendapatan.</t>
  </si>
  <si>
    <t xml:space="preserve">P054</t>
  </si>
  <si>
    <t xml:space="preserve">Porsi transaksi dengan platform fee gratis — Bulan 7–24</t>
  </si>
  <si>
    <t xml:space="preserve">Idem, setelah gelombang awal.</t>
  </si>
  <si>
    <t xml:space="preserve">P055</t>
  </si>
  <si>
    <t xml:space="preserve">Harga SMS OTP ke Indonesia</t>
  </si>
  <si>
    <t xml:space="preserve">USD/SMS</t>
  </si>
  <si>
    <t xml:space="preserve">twilio.com/en-us/sms/pricing/id (diakses 2026-10-04). OTP masih MOCK (STATUS §2).</t>
  </si>
  <si>
    <t xml:space="preserve">P056</t>
  </si>
  <si>
    <t xml:space="preserve">SMS OTP per pembeli baru bertransaksi</t>
  </si>
  <si>
    <t xml:space="preserve">SMS</t>
  </si>
  <si>
    <t xml:space="preserve">Verifikasi HP (KYC 2) wajib sebelum checkout + kirim ulang + pendaftar yang tidak bertransaksi. Kanal WhatsApp/e-mail bisa lebih murah.</t>
  </si>
  <si>
    <t xml:space="preserve">P057</t>
  </si>
  <si>
    <t xml:space="preserve">Biaya e-KYC per traveler baru</t>
  </si>
  <si>
    <t xml:space="preserve">Vendor e-KYC belum dipilih (STATUS §2); saat ini review manual.</t>
  </si>
  <si>
    <t xml:space="preserve">8. Pasokan traveler (ASUMSI — kendala utama marketplace; launch-plan §2)</t>
  </si>
  <si>
    <t xml:space="preserve">P058</t>
  </si>
  <si>
    <t xml:space="preserve">Traveler terverifikasi saat Bulan 0 (peserta beta)</t>
  </si>
  <si>
    <t xml:space="preserve">launch-plan fase 1A: 20 traveler (JP, SG).</t>
  </si>
  <si>
    <t xml:space="preserve">P059</t>
  </si>
  <si>
    <t xml:space="preserve">Traveler terverifikasi baru — Bulan 1</t>
  </si>
  <si>
    <t xml:space="preserve">orang/bulan</t>
  </si>
  <si>
    <t xml:space="preserve">PPI, diaspora, Jastiper Pro (launch-plan §2); target 60 traveler aktif di minggu 10.</t>
  </si>
  <si>
    <t xml:space="preserve">P060</t>
  </si>
  <si>
    <t xml:space="preserve">Pertumbuhan traveler baru per bulan</t>
  </si>
  <si>
    <t xml:space="preserve">%/bulan</t>
  </si>
  <si>
    <t xml:space="preserve">P061</t>
  </si>
  <si>
    <t xml:space="preserve">Churn basis traveler per bulan</t>
  </si>
  <si>
    <t xml:space="preserve">P062</t>
  </si>
  <si>
    <t xml:space="preserve">Porsi traveler yang punya trip aktif dalam sebulan</t>
  </si>
  <si>
    <t xml:space="preserve">Pasokan musiman (launch-plan §11).</t>
  </si>
  <si>
    <t xml:space="preserve">P063</t>
  </si>
  <si>
    <t xml:space="preserve">Pesanan per traveler aktif per bulan</t>
  </si>
  <si>
    <t xml:space="preserve">pesanan</t>
  </si>
  <si>
    <t xml:space="preserve">launch-plan: ≥150 transaksi selesai di soft launch dengan ±60 traveler aktif → ±2,5.</t>
  </si>
  <si>
    <t xml:space="preserve">9. Permintaan pembeli (ASUMSI)</t>
  </si>
  <si>
    <t xml:space="preserve">P064</t>
  </si>
  <si>
    <t xml:space="preserve">Basis pembeli saat Bulan 0 (peserta beta)</t>
  </si>
  <si>
    <t xml:space="preserve">launch-plan fase 1A: 50 penitip undangan.</t>
  </si>
  <si>
    <t xml:space="preserve">P065</t>
  </si>
  <si>
    <t xml:space="preserve">Pembeli baru organik — Bulan 1</t>
  </si>
  <si>
    <t xml:space="preserve">launch-plan §10 (anggaran Rp0): 20–40 pembeli baru bertransaksi/bulan.</t>
  </si>
  <si>
    <t xml:space="preserve">P066</t>
  </si>
  <si>
    <t xml:space="preserve">Pertumbuhan pembeli organik per bulan (SEO, konten, word of mouth)</t>
  </si>
  <si>
    <t xml:space="preserve">P067</t>
  </si>
  <si>
    <t xml:space="preserve">Anggaran marketing kas — Bulan 1–3</t>
  </si>
  <si>
    <t xml:space="preserve">Rp/bulan</t>
  </si>
  <si>
    <t xml:space="preserve">USULAN</t>
  </si>
  <si>
    <t xml:space="preserve">launch-plan §10 skenario Rp5 juta (perlu persetujuan owner). Sama di semua skenario.</t>
  </si>
  <si>
    <t xml:space="preserve">P068</t>
  </si>
  <si>
    <t xml:space="preserve">Anggaran marketing kas — Bulan 4–12</t>
  </si>
  <si>
    <t xml:space="preserve">launch-plan §10 skenario Rp25 juta; iklan berbayar hanya setelah prasyarat atribusi §7.</t>
  </si>
  <si>
    <t xml:space="preserve">P069</t>
  </si>
  <si>
    <t xml:space="preserve">Anggaran marketing kas — Bulan 13–24</t>
  </si>
  <si>
    <t xml:space="preserve">Tidak ada di launch plan; ditetapkan untuk Tahun 2.</t>
  </si>
  <si>
    <t xml:space="preserve">P070</t>
  </si>
  <si>
    <t xml:space="preserve">CAC blended per pembeli baru dari marketing</t>
  </si>
  <si>
    <t xml:space="preserve">Turunan launch-plan §10: Rp5 jt → +20–40 pembeli (Rp125–250 rb); Rp25 jt → +60–110 (Rp227–417 rb); iklan berbayar ±Rp266.667 (§6).</t>
  </si>
  <si>
    <t xml:space="preserve">P071</t>
  </si>
  <si>
    <t xml:space="preserve">Churn basis pembeli per bulan</t>
  </si>
  <si>
    <t xml:space="preserve">P072</t>
  </si>
  <si>
    <t xml:space="preserve">Peluang pembeli retensi bertransaksi lagi dalam sebulan</t>
  </si>
  <si>
    <t xml:space="preserve">Setara ±1,5 / 1,7 / 1,9 transaksi per pembeli baru dalam 12 bulan (launch-plan LTV: 2 transaksi/tahun).</t>
  </si>
  <si>
    <t xml:space="preserve">10. Referral — config referral.buyer / referral.traveler + ASUMSI pemakaian</t>
  </si>
  <si>
    <t xml:space="preserve">P073</t>
  </si>
  <si>
    <t xml:space="preserve">Credit perujuk (pembeli)</t>
  </si>
  <si>
    <t xml:space="preserve">referral.buyer.referrerCreditIdr; tidak bisa dicairkan, berlaku 90 hari.</t>
  </si>
  <si>
    <t xml:space="preserve">P074</t>
  </si>
  <si>
    <t xml:space="preserve">Credit teman yang dirujuk</t>
  </si>
  <si>
    <t xml:space="preserve">referral.buyer.refereeCreditIdr.</t>
  </si>
  <si>
    <t xml:space="preserve">P075</t>
  </si>
  <si>
    <t xml:space="preserve">Syarat transaksi pertama teman (informasi)</t>
  </si>
  <si>
    <t xml:space="preserve">referral.buyer.minFirstTransactionIdr; status COMPLETED.</t>
  </si>
  <si>
    <t xml:space="preserve">P076</t>
  </si>
  <si>
    <t xml:space="preserve">Cap credit per perujuk per bulan</t>
  </si>
  <si>
    <t xml:space="preserve">referral.buyer.monthlyCapIdr (dan referral.traveler.monthlyCapIdr).</t>
  </si>
  <si>
    <t xml:space="preserve">P077</t>
  </si>
  <si>
    <t xml:space="preserve">Pembeli baru via referral per pembeli retensi per bulan</t>
  </si>
  <si>
    <t xml:space="preserve">P078</t>
  </si>
  <si>
    <t xml:space="preserve">Porsi referral yang memenuhi syarat (≥ Rp500 rb &amp; COMPLETED)</t>
  </si>
  <si>
    <t xml:space="preserve">Hanya referral berkualifikasi yang memicu credit.</t>
  </si>
  <si>
    <t xml:space="preserve">P079</t>
  </si>
  <si>
    <t xml:space="preserve">Tingkat pemakaian credit pembeli</t>
  </si>
  <si>
    <t xml:space="preserve">launch-plan §5.</t>
  </si>
  <si>
    <t xml:space="preserve">P080</t>
  </si>
  <si>
    <t xml:space="preserve">Referral berkualifikasi per perujuk aktif per bulan</t>
  </si>
  <si>
    <t xml:space="preserve">referral</t>
  </si>
  <si>
    <t xml:space="preserve">Dipakai menegakkan cap per perujuk (cap/credit = 10 referral/bulan).</t>
  </si>
  <si>
    <t xml:space="preserve">P081</t>
  </si>
  <si>
    <t xml:space="preserve">Credit perujuk traveler</t>
  </si>
  <si>
    <t xml:space="preserve">referral.traveler.referrerCreditIdr; setelah traveler baru menyelesaikan 2 transaksi.</t>
  </si>
  <si>
    <t xml:space="preserve">P082</t>
  </si>
  <si>
    <t xml:space="preserve">Porsi traveler baru yang datang via referral</t>
  </si>
  <si>
    <t xml:space="preserve">P083</t>
  </si>
  <si>
    <t xml:space="preserve">Porsi traveler referral yang mencapai 2 transaksi selesai</t>
  </si>
  <si>
    <t xml:space="preserve">referral.traveler.requiredCompletedTransactions = 2.</t>
  </si>
  <si>
    <t xml:space="preserve">P084</t>
  </si>
  <si>
    <t xml:space="preserve">Tingkat pemakaian credit traveler</t>
  </si>
  <si>
    <t xml:space="preserve">Credit tidak bisa dicairkan; dipakai bila traveler juga menitip.</t>
  </si>
  <si>
    <t xml:space="preserve">P085</t>
  </si>
  <si>
    <t xml:space="preserve">Terapkan cap anggaran credit referral global? (1 = ya)</t>
  </si>
  <si>
    <t xml:space="preserve">launch-plan §5: cap anggaran Rp2 jt/bulan adalah USULAN, belum ada di config. 0 = hanya cap per perujuk (config).</t>
  </si>
  <si>
    <t xml:space="preserve">P086</t>
  </si>
  <si>
    <t xml:space="preserve">Cap anggaran credit referral pembeli global</t>
  </si>
  <si>
    <t xml:space="preserve">launch-plan §5/§10.</t>
  </si>
  <si>
    <t xml:space="preserve">P087</t>
  </si>
  <si>
    <t xml:space="preserve">Guardrail: jeda referral bila CAC &gt; rasio × LTV</t>
  </si>
  <si>
    <t xml:space="preserve">rasio</t>
  </si>
  <si>
    <t xml:space="preserve">referral.buyer.guardrails.pauseIfCacAboveLtvRatio.</t>
  </si>
  <si>
    <t xml:space="preserve">P088</t>
  </si>
  <si>
    <t xml:space="preserve">Cek: credit per perujuk ≤ cap bulanan</t>
  </si>
  <si>
    <t xml:space="preserve">Bila 'MELEBIHI', cap per perujuk mengikat — formula biaya sudah memakai MIN().</t>
  </si>
  <si>
    <t xml:space="preserve">11. Biaya tetap bulanan (rencana biaya sama di semua skenario)</t>
  </si>
  <si>
    <t xml:space="preserve">P089</t>
  </si>
  <si>
    <t xml:space="preserve">Infrastruktur tier 1 (Workers Paid + Neon Launch)</t>
  </si>
  <si>
    <t xml:space="preserve">USD/bulan</t>
  </si>
  <si>
    <t xml:space="preserve">Workers Paid US$5/bulan (developers.cloudflare.com, 2026-10-04); Neon Launch US$0,106/CU-jam × 0,25 CU × 730 jam ≈ US$19 + storage/PITR (neon.com/pricing, 2026-10-04); arsitektur §11 tahap 1 '≈ US$5 + US$19–30'.</t>
  </si>
  <si>
    <t xml:space="preserve">P090</t>
  </si>
  <si>
    <t xml:space="preserve">Tambahan infrastruktur tier 2 (publik)</t>
  </si>
  <si>
    <t xml:space="preserve">docs/01-architecture.md §11 tahap 2: +US$20–50 (nilai tengah).</t>
  </si>
  <si>
    <t xml:space="preserve">P091</t>
  </si>
  <si>
    <t xml:space="preserve">Pemicu tier 2 — transaksi selesai per bulan</t>
  </si>
  <si>
    <t xml:space="preserve">Pemicu asli: p95 &gt; 800 ms / DB CPU &gt; 60% — dipetakan ke volume.</t>
  </si>
  <si>
    <t xml:space="preserve">P092</t>
  </si>
  <si>
    <t xml:space="preserve">Tambahan infrastruktur tier 3 (container, partisi, queue)</t>
  </si>
  <si>
    <t xml:space="preserve">Arsitektur §11 tahap 3: 'case by case'.</t>
  </si>
  <si>
    <t xml:space="preserve">P093</t>
  </si>
  <si>
    <t xml:space="preserve">Pemicu tier 3 — transaksi selesai per bulan</t>
  </si>
  <si>
    <t xml:space="preserve">Arsitektur §11: &gt; 50 req/s berkelanjutan.</t>
  </si>
  <si>
    <t xml:space="preserve">P094</t>
  </si>
  <si>
    <t xml:space="preserve">SaaS &amp; alat lain (ClamAV terkelola, e-mail, GitHub, monitoring, desain)</t>
  </si>
  <si>
    <t xml:space="preserve">ClamAV wajib di production (W8, STATUS §2); GitHub environment protection (T13).</t>
  </si>
  <si>
    <t xml:space="preserve">P095</t>
  </si>
  <si>
    <t xml:space="preserve">SDM inti — gaji bruto per bulan, Tahun 1</t>
  </si>
  <si>
    <t xml:space="preserve">±6 orang: CEO 15 jt, engineer 15 jt, lead ops/CS 9 jt, growth/komunitas 8 jt, CS 7 jt, finance/admin 6 jt. Belum ada rencana SDM di repo.</t>
  </si>
  <si>
    <t xml:space="preserve">P096</t>
  </si>
  <si>
    <t xml:space="preserve">SDM inti — gaji bruto per bulan, Tahun 2</t>
  </si>
  <si>
    <t xml:space="preserve">+1 engineer, +1 CS, +1 risk/ops.</t>
  </si>
  <si>
    <t xml:space="preserve">P097</t>
  </si>
  <si>
    <t xml:space="preserve">Overhead SDM (BPJS, THR, tunjangan)</t>
  </si>
  <si>
    <t xml:space="preserve">% gaji</t>
  </si>
  <si>
    <t xml:space="preserve">P098</t>
  </si>
  <si>
    <t xml:space="preserve">Kepatuhan berulang (retainer hukum, akuntansi/pajak, DPO)</t>
  </si>
  <si>
    <t xml:space="preserve">Minta penawaran (STATUS §5b).</t>
  </si>
  <si>
    <t xml:space="preserve">P099</t>
  </si>
  <si>
    <t xml:space="preserve">Kantor &amp; umum (remote-first + coworking)</t>
  </si>
  <si>
    <t xml:space="preserve">P100</t>
  </si>
  <si>
    <t xml:space="preserve">Cadangan tak terduga (% SDM, infra, kepatuhan, kantor)</t>
  </si>
  <si>
    <t xml:space="preserve">P101</t>
  </si>
  <si>
    <t xml:space="preserve">Google Play Console (sekali)</t>
  </si>
  <si>
    <t xml:space="preserve">support.google.com/googleplay/android-developer/answer/6112435 (2026-10-04).</t>
  </si>
  <si>
    <t xml:space="preserve">P102</t>
  </si>
  <si>
    <t xml:space="preserve">Apple Developer Program (per tahun)</t>
  </si>
  <si>
    <t xml:space="preserve">USD/tahun</t>
  </si>
  <si>
    <t xml:space="preserve">developer.apple.com/support/enrollment (2026-10-04); wajib D-U-N-S.</t>
  </si>
  <si>
    <t xml:space="preserve">12. Biaya sekali di Bulan 0 (ASUMSI — minta penawaran, STATUS §5b)</t>
  </si>
  <si>
    <t xml:space="preserve">P103</t>
  </si>
  <si>
    <t xml:space="preserve">Pendirian PT + NIB/OSS (KBLI PMSE)</t>
  </si>
  <si>
    <t xml:space="preserve">Pendaftaran PSE &amp; perizinan PPMSE via OSS tanpa biaya (research 05 §2–3). L1, L2.</t>
  </si>
  <si>
    <t xml:space="preserve">P104</t>
  </si>
  <si>
    <t xml:space="preserve">Review hukum template + opini escrow + opini PPMSE/traveler = pedagang</t>
  </si>
  <si>
    <t xml:space="preserve">launch-checklist L3, L5, L6.</t>
  </si>
  <si>
    <t xml:space="preserve">P105</t>
  </si>
  <si>
    <t xml:space="preserve">Konsultan kepabeanan / PPJK</t>
  </si>
  <si>
    <t xml:space="preserve">L7.</t>
  </si>
  <si>
    <t xml:space="preserve">P106</t>
  </si>
  <si>
    <t xml:space="preserve">Konsultan pajak (PKP, PPh traveler, PMK 37/2025)</t>
  </si>
  <si>
    <t xml:space="preserve">L8.</t>
  </si>
  <si>
    <t xml:space="preserve">P107</t>
  </si>
  <si>
    <t xml:space="preserve">PDKI + permohonan merek 5 kelas + konsultan KI</t>
  </si>
  <si>
    <t xml:space="preserve">L14–L15 (risiko merek TINGGI).</t>
  </si>
  <si>
    <t xml:space="preserve">P108</t>
  </si>
  <si>
    <t xml:space="preserve">Pentest independen</t>
  </si>
  <si>
    <t xml:space="preserve">T3.</t>
  </si>
  <si>
    <t xml:space="preserve">P109</t>
  </si>
  <si>
    <t xml:space="preserve">DPIA, RoPA, penunjukan DPO</t>
  </si>
  <si>
    <t xml:space="preserve">L10.</t>
  </si>
  <si>
    <t xml:space="preserve">P110</t>
  </si>
  <si>
    <t xml:space="preserve">Opini/kontrak JastipKita Protection</t>
  </si>
  <si>
    <t xml:space="preserve">L9.</t>
  </si>
  <si>
    <t xml:space="preserve">P111</t>
  </si>
  <si>
    <t xml:space="preserve">Pentest ulang tahunan (Bulan 13)</t>
  </si>
  <si>
    <t xml:space="preserve">13. Batas transaksi — config limits.transaction (untuk pemeriksaan di Unit Economics)</t>
  </si>
  <si>
    <t xml:space="preserve">P112</t>
  </si>
  <si>
    <t xml:space="preserve">Limit per transaksi pembeli KYC level 2</t>
  </si>
  <si>
    <t xml:space="preserve">limits.transaction.byKycLevel.2 (sebelum trust multiplier 0,5–2×).</t>
  </si>
  <si>
    <t xml:space="preserve">P113</t>
  </si>
  <si>
    <t xml:space="preserve">Limit per transaksi pembeli KYC level 3</t>
  </si>
  <si>
    <t xml:space="preserve">byKycLevel.3.</t>
  </si>
  <si>
    <t xml:space="preserve">P114</t>
  </si>
  <si>
    <t xml:space="preserve">Limit per transaksi pembeli KYC level 4</t>
  </si>
  <si>
    <t xml:space="preserve">byKycLevel.4.</t>
  </si>
  <si>
    <t xml:space="preserve">P115</t>
  </si>
  <si>
    <t xml:space="preserve">Limit traveler baru (&lt; 3 transaksi selesai)</t>
  </si>
  <si>
    <t xml:space="preserve">limits.transaction.newTravelerMaxIdr.</t>
  </si>
  <si>
    <t xml:space="preserve">Catatan keterbatasan data: input berstatus ASUMSI/USULAN belum didukung data JastipKita (pra-launch, semua integrasi MOCK/SANDBOX). Tarif Xendit = harga publik, bukan kontrak. Tarif bea/pajak = seed DRAFT sampai diverifikasi konsultan. Lihat sheet Sumber.</t>
  </si>
  <si>
    <t xml:space="preserve">Unit Economics — satu transaksi melalui 11 baris harga</t>
  </si>
  <si>
    <t xml:space="preserve">Kolom C–E: transaksi representatif tiap skenario (asumsi skenario masing-masing). Kolom F–H: tiga ukuran keranjang dengan asumsi skenario aktif. Rumus mengikuti packages/core/src/pricing (clamp, gross-up kanal bayar, PPN DPP 11/12, CEIL_1000 bea).</t>
  </si>
  <si>
    <t xml:space="preserve">Baris / komponen</t>
  </si>
  <si>
    <t xml:space="preserve">Konservatif (rep.)</t>
  </si>
  <si>
    <t xml:space="preserve">Dasar (rep.)</t>
  </si>
  <si>
    <t xml:space="preserve">Optimis (rep.)</t>
  </si>
  <si>
    <t xml:space="preserve">Aktif — Rp1 jt</t>
  </si>
  <si>
    <t xml:space="preserve">Aktif — Rp2,5 jt</t>
  </si>
  <si>
    <t xml:space="preserve">Aktif — Rp5 jt</t>
  </si>
  <si>
    <t xml:space="preserve">Bucket ledger</t>
  </si>
  <si>
    <t xml:space="preserve">Sifat bagi platform / catatan</t>
  </si>
  <si>
    <t xml:space="preserve">Indeks skenario (1 K · 2 D · 3 O)</t>
  </si>
  <si>
    <t xml:space="preserve">Nilai barang (Rp)</t>
  </si>
  <si>
    <t xml:space="preserve">A. Rincian 11 baris harga per transaksi (dibayar pembeli) — urutan docs/00-domain-model.md §10</t>
  </si>
  <si>
    <t xml:space="preserve">1. ITEM_PRICE — Harga Barang</t>
  </si>
  <si>
    <t xml:space="preserve">PRODUCT_FUND</t>
  </si>
  <si>
    <t xml:space="preserve">Pass-through → traveler (penggantian harga beli)</t>
  </si>
  <si>
    <t xml:space="preserve">2. TRAVELER_FEE — Traveler Fee</t>
  </si>
  <si>
    <t xml:space="preserve">TRAVELER_EARNING</t>
  </si>
  <si>
    <t xml:space="preserve">Pass-through → penghasilan traveler</t>
  </si>
  <si>
    <t xml:space="preserve">3. CUSTOMS_DUTY — Bea Masuk (estimasi)</t>
  </si>
  <si>
    <t xml:space="preserve">CUSTOMS_RESERVE</t>
  </si>
  <si>
    <t xml:space="preserve">Pass-through → DJBC (dibayar traveler)</t>
  </si>
  <si>
    <t xml:space="preserve">4. IMPORT_TAX — PPN impor + PPh 22 (estimasi)</t>
  </si>
  <si>
    <t xml:space="preserve">5. PROTECTION_FEE — JastipKita Protection</t>
  </si>
  <si>
    <t xml:space="preserve">PLATFORM_REVENUE</t>
  </si>
  <si>
    <t xml:space="preserve">Pendapatan platform (menanggung klaim)</t>
  </si>
  <si>
    <t xml:space="preserve">6. PLATFORM_FEE — Platform Fee</t>
  </si>
  <si>
    <t xml:space="preserve">Pendapatan platform</t>
  </si>
  <si>
    <t xml:space="preserve">7. SERVICE_TAX — PPN atas layanan</t>
  </si>
  <si>
    <t xml:space="preserve">TAX_PAYABLE</t>
  </si>
  <si>
    <t xml:space="preserve">Pass-through → kas negara (hanya bila PKP)</t>
  </si>
  <si>
    <t xml:space="preserve">8. PAYMENT_FEE — rata-rata tertimbang bauran kanal</t>
  </si>
  <si>
    <t xml:space="preserve">PAYMENT_FEE</t>
  </si>
  <si>
    <t xml:space="preserve">Pass-through → Xendit (kekurangan disubsidi platform)</t>
  </si>
  <si>
    <t xml:space="preserve">9. DISCOUNT — Diskon promo (negatif)</t>
  </si>
  <si>
    <t xml:space="preserve">PROMOTION_CREDIT</t>
  </si>
  <si>
    <t xml:space="preserve">Transaksi representatif tanpa promo; promo dihitung teramortisasi di bagian C</t>
  </si>
  <si>
    <t xml:space="preserve">10. REFERRAL_CREDIT — JastipKita Credit (negatif)</t>
  </si>
  <si>
    <t xml:space="preserve">Idem — credit referral teramortisasi di bagian C</t>
  </si>
  <si>
    <t xml:space="preserve">11. TOTAL — Total Landed Cost (= GMV per transaksi)</t>
  </si>
  <si>
    <t xml:space="preserve">—</t>
  </si>
  <si>
    <t xml:space="preserve">Kas dibayar pembeli</t>
  </si>
  <si>
    <t xml:space="preserve">A2. Biaya kanal pembayaran — dibebankan ke pembeli (config) vs biaya Xendit (tarif publik); lihat launch-checklist B4</t>
  </si>
  <si>
    <t xml:space="preserve">Dasar sebelum biaya bayar (P = baris 1–7 + 9 + 10)</t>
  </si>
  <si>
    <t xml:space="preserve">VA — dibebankan ke pembeli</t>
  </si>
  <si>
    <t xml:space="preserve">config VA Rp4.500</t>
  </si>
  <si>
    <t xml:space="preserve">VA — biaya Xendit ((Rp9.000 + Rp4.000) × 1,11)</t>
  </si>
  <si>
    <t xml:space="preserve">tarif publik</t>
  </si>
  <si>
    <t xml:space="preserve">VA — subsidi platform</t>
  </si>
  <si>
    <t xml:space="preserve">B4: ±Rp9.930</t>
  </si>
  <si>
    <t xml:space="preserve">QRIS — dibebankan ke pembeli</t>
  </si>
  <si>
    <t xml:space="preserve">config 0,70% gross-up</t>
  </si>
  <si>
    <t xml:space="preserve">QRIS — biaya Xendit (0,70% incl. PPN + Rp4.000 × 1,11)</t>
  </si>
  <si>
    <t xml:space="preserve">QRIS — subsidi platform</t>
  </si>
  <si>
    <t xml:space="preserve">E-wallet — dibebankan ke pembeli</t>
  </si>
  <si>
    <t xml:space="preserve">config 1,50% gross-up</t>
  </si>
  <si>
    <t xml:space="preserve">E-wallet — biaya Xendit ((tarif × TOTAL + Rp4.000) × 1,11)</t>
  </si>
  <si>
    <t xml:space="preserve">E-wallet — subsidi platform</t>
  </si>
  <si>
    <t xml:space="preserve">Kartu — dibebankan ke pembeli</t>
  </si>
  <si>
    <t xml:space="preserve">config Rp2.000 + 2,90% gross-up</t>
  </si>
  <si>
    <t xml:space="preserve">Kartu — biaya Xendit ((2,90% × TOTAL + Rp2.000 + Rp4.000) × 1,11)</t>
  </si>
  <si>
    <t xml:space="preserve">Kartu — subsidi platform</t>
  </si>
  <si>
    <t xml:space="preserve">Rata-rata dibebankan ke pembeli (bauran)</t>
  </si>
  <si>
    <t xml:space="preserve">Rata-rata biaya Xendit (bauran)</t>
  </si>
  <si>
    <t xml:space="preserve">Rata-rata subsidi platform per transaksi (bauran)</t>
  </si>
  <si>
    <t xml:space="preserve">B. Alokasi dana — siapa menerima apa (ledger COMPLETION_RELEASE, docs/04-payments-ledger.md)</t>
  </si>
  <si>
    <t xml:space="preserve">Traveler — penggantian harga barang (pass-through)</t>
  </si>
  <si>
    <t xml:space="preserve">Traveler — traveler fee (penghasilan traveler)</t>
  </si>
  <si>
    <t xml:space="preserve">DJBC — bea masuk + pajak impor via traveler (pass-through)</t>
  </si>
  <si>
    <t xml:space="preserve">Negara — PPN atas layanan (pass-through)</t>
  </si>
  <si>
    <t xml:space="preserve">Xendit — biaya pembayaran yang dibayar pembeli</t>
  </si>
  <si>
    <t xml:space="preserve">Anggaran promosi — diskon &amp; credit (dibiayai platform)</t>
  </si>
  <si>
    <t xml:space="preserve">JastipKita — pendapatan bruto (platform + protection)</t>
  </si>
  <si>
    <t xml:space="preserve">Cek: Σ alokasi − TOTAL (harus 0)</t>
  </si>
  <si>
    <t xml:space="preserve">Porsi pass-through dalam TOTAL</t>
  </si>
  <si>
    <t xml:space="preserve">C. Ekonomi platform per transaksi selesai</t>
  </si>
  <si>
    <t xml:space="preserve">Pendapatan bruto (platform + protection fee)</t>
  </si>
  <si>
    <t xml:space="preserve">(−) Promo platform fee gratis, teramortisasi</t>
  </si>
  <si>
    <t xml:space="preserve">porsi B7–24 × platform fee</t>
  </si>
  <si>
    <t xml:space="preserve">(−) Credit referral ditebus, teramortisasi</t>
  </si>
  <si>
    <t xml:space="preserve">rata-rata Th2 dari Proyeksi (cap config ditegakkan)</t>
  </si>
  <si>
    <t xml:space="preserve">Pendapatan bersih per transaksi</t>
  </si>
  <si>
    <t xml:space="preserve">(−) Subsidi kanal pembayaran (bauran)</t>
  </si>
  <si>
    <t xml:space="preserve">(−) Biaya payout ke traveler</t>
  </si>
  <si>
    <t xml:space="preserve">config payoutFeeIdr = 0 → ditanggung platform</t>
  </si>
  <si>
    <t xml:space="preserve">(−) Klaim JastipKita Protection</t>
  </si>
  <si>
    <t xml:space="preserve">loss ratio × protection fee</t>
  </si>
  <si>
    <t xml:space="preserve">(−) CS &amp; operasional</t>
  </si>
  <si>
    <t xml:space="preserve">(−) Chargeback kartu</t>
  </si>
  <si>
    <t xml:space="preserve">(−) Biaya transaksi batal, teramortisasi</t>
  </si>
  <si>
    <t xml:space="preserve">batal ÷ selesai × biaya per batal</t>
  </si>
  <si>
    <t xml:space="preserve">Margin kontribusi per transaksi selesai</t>
  </si>
  <si>
    <t xml:space="preserve">Biaya variabel per transaksi (subsidi s.d. batal)</t>
  </si>
  <si>
    <t xml:space="preserve">Take rate bruto (÷ TOTAL / GMV)</t>
  </si>
  <si>
    <t xml:space="preserve">Take rate bruto (÷ nilai barang)</t>
  </si>
  <si>
    <t xml:space="preserve">Take rate bersih (÷ GMV)</t>
  </si>
  <si>
    <t xml:space="preserve">Biaya per transaksi batal: biaya Xendit hangus + refund via payout (porsi VA)</t>
  </si>
  <si>
    <t xml:space="preserve">VA tidak bisa refund → payout (research 02 §4)</t>
  </si>
  <si>
    <t xml:space="preserve">Validasi rekening penny-drop per traveler baru (payout Rp1)</t>
  </si>
  <si>
    <t xml:space="preserve">alternatif Iluma (biaya bulanan belum diketahui)</t>
  </si>
  <si>
    <t xml:space="preserve">Ekonomi proteksi: protection fee − klaim</t>
  </si>
  <si>
    <t xml:space="preserve">sebelum biaya mitra asuransi (belum ada, L9)</t>
  </si>
  <si>
    <t xml:space="preserve">D. LTV &amp; CAC (indikatif, 12 bulan) — guardrail config referral.buyer.guardrails</t>
  </si>
  <si>
    <t xml:space="preserve">Ekspektasi transaksi per pembeli baru dalam 12 bulan</t>
  </si>
  <si>
    <t xml:space="preserve">LTV 12 bulan (margin kontribusi)</t>
  </si>
  <si>
    <t xml:space="preserve">Batas CAC = guardrail × LTV</t>
  </si>
  <si>
    <t xml:space="preserve">CAC blended + OTP per pembeli baru</t>
  </si>
  <si>
    <t xml:space="preserve">Rasio CAC ÷ LTV</t>
  </si>
  <si>
    <t xml:space="preserve">Status vs guardrail</t>
  </si>
  <si>
    <t xml:space="preserve">E. Pemeriksaan batas config (limit dibandingkan dengan TOTAL — asumsi)</t>
  </si>
  <si>
    <t xml:space="preserve">Nilai barang ≥ minimum transaksi</t>
  </si>
  <si>
    <t xml:space="preserve">TOTAL ≤ limit traveler baru</t>
  </si>
  <si>
    <t xml:space="preserve">TOTAL ≤ batas QRIS</t>
  </si>
  <si>
    <t xml:space="preserve">Level KYC pembeli minimum (tanpa trust multiplier)</t>
  </si>
  <si>
    <t xml:space="preserve">Status traveler fee vs batas config</t>
  </si>
  <si>
    <t xml:space="preserve">F. Parameter (tautan ke sheet Asumsi sesuai indeks skenario kolom)</t>
  </si>
  <si>
    <t xml:space="preserve">Traveler fee (%)</t>
  </si>
  <si>
    <t xml:space="preserve">Traveler fee minimum</t>
  </si>
  <si>
    <t xml:space="preserve">Traveler fee maksimum (%)</t>
  </si>
  <si>
    <t xml:space="preserve">Bea masuk</t>
  </si>
  <si>
    <t xml:space="preserve">PPN impor</t>
  </si>
  <si>
    <t xml:space="preserve">DPP PPN impor</t>
  </si>
  <si>
    <t xml:space="preserve">PPh 22 impor</t>
  </si>
  <si>
    <t xml:space="preserve">Protection fee (%)</t>
  </si>
  <si>
    <t xml:space="preserve">Protection fee min</t>
  </si>
  <si>
    <t xml:space="preserve">Protection fee maks</t>
  </si>
  <si>
    <t xml:space="preserve">Platform fee (%)</t>
  </si>
  <si>
    <t xml:space="preserve">Platform fee min</t>
  </si>
  <si>
    <t xml:space="preserve">Platform fee maks</t>
  </si>
  <si>
    <t xml:space="preserve">PPN layanan</t>
  </si>
  <si>
    <t xml:space="preserve">DPP PPN layanan</t>
  </si>
  <si>
    <t xml:space="preserve">PPN layanan dipungut (1/0)</t>
  </si>
  <si>
    <t xml:space="preserve">Config VA tetap</t>
  </si>
  <si>
    <t xml:space="preserve">Config VA %</t>
  </si>
  <si>
    <t xml:space="preserve">Config QRIS tetap</t>
  </si>
  <si>
    <t xml:space="preserve">Config QRIS %</t>
  </si>
  <si>
    <t xml:space="preserve">Config e-wallet tetap</t>
  </si>
  <si>
    <t xml:space="preserve">Config e-wallet %</t>
  </si>
  <si>
    <t xml:space="preserve">Config kartu tetap</t>
  </si>
  <si>
    <t xml:space="preserve">Config kartu %</t>
  </si>
  <si>
    <t xml:space="preserve">Xendit VA</t>
  </si>
  <si>
    <t xml:space="preserve">Xendit processing fee</t>
  </si>
  <si>
    <t xml:space="preserve">Xendit QRIS %</t>
  </si>
  <si>
    <t xml:space="preserve">Xendit e-wallet %</t>
  </si>
  <si>
    <t xml:space="preserve">Xendit kartu %</t>
  </si>
  <si>
    <t xml:space="preserve">Xendit kartu tetap</t>
  </si>
  <si>
    <t xml:space="preserve">PPN atas fee Xendit</t>
  </si>
  <si>
    <t xml:space="preserve">Payout tetap</t>
  </si>
  <si>
    <t xml:space="preserve">Payout %</t>
  </si>
  <si>
    <t xml:space="preserve">Payout min komponen %</t>
  </si>
  <si>
    <t xml:space="preserve">Bauran VA</t>
  </si>
  <si>
    <t xml:space="preserve">Bauran QRIS</t>
  </si>
  <si>
    <t xml:space="preserve">Bauran e-wallet</t>
  </si>
  <si>
    <t xml:space="preserve">Bauran kartu</t>
  </si>
  <si>
    <t xml:space="preserve">Loss ratio proteksi</t>
  </si>
  <si>
    <t xml:space="preserve">CS &amp; ops per transaksi</t>
  </si>
  <si>
    <t xml:space="preserve">Tingkat batal</t>
  </si>
  <si>
    <t xml:space="preserve">Tingkat chargeback kartu</t>
  </si>
  <si>
    <t xml:space="preserve">Chargeback (USD)</t>
  </si>
  <si>
    <t xml:space="preserve">Kurs USD/IDR</t>
  </si>
  <si>
    <t xml:space="preserve">Porsi promo platform fee (B7–24)</t>
  </si>
  <si>
    <t xml:space="preserve">Credit referral per transaksi (rata-rata Th2, Proyeksi)</t>
  </si>
  <si>
    <t xml:space="preserve">Peluang transaksi ulang per bulan</t>
  </si>
  <si>
    <t xml:space="preserve">Churn pembeli per bulan</t>
  </si>
  <si>
    <t xml:space="preserve">Guardrail CAC/LTV</t>
  </si>
  <si>
    <t xml:space="preserve">CAC blended</t>
  </si>
  <si>
    <t xml:space="preserve">SMS OTP per pembeli baru</t>
  </si>
  <si>
    <t xml:space="preserve">Harga SMS OTP (USD)</t>
  </si>
  <si>
    <t xml:space="preserve">Nilai barang minimum</t>
  </si>
  <si>
    <t xml:space="preserve">Limit traveler baru</t>
  </si>
  <si>
    <t xml:space="preserve">Batas QRIS</t>
  </si>
  <si>
    <t xml:space="preserve">Limit KYC 2</t>
  </si>
  <si>
    <t xml:space="preserve">Limit KYC 3</t>
  </si>
  <si>
    <t xml:space="preserve">Limit KYC 4</t>
  </si>
  <si>
    <t xml:space="preserve">Catatan keterbatasan data: tarif Xendit = harga publik (bukan kontrak); traveler fee, bauran kanal, loss ratio, biaya CS, tingkat batal, promo dan referral = ASUMSI; bea &amp; pajak impor = estimasi pass-through (seed DRAFT). Markup kurs 1,5% tidak dihitung sebagai pendapatan. Lihat sheet Sumber.</t>
  </si>
  <si>
    <t xml:space="preserve">Proyeksi 24 Bulan sejak soft launch (Bulan 0 = pra-peluncuran)</t>
  </si>
  <si>
    <t xml:space="preserve">Tiga blok skenario dihitung serentak (Konservatif, Dasar, Optimis); ringkasan di atas mengikuti skenario aktif. Satuan Rp kecuali disebut. Kas = kas perusahaan saja — dana escrow pembeli di saldo Xendit bukan kas perusahaan.</t>
  </si>
  <si>
    <t xml:space="preserve">Tahun 1 (B1–B12)</t>
  </si>
  <si>
    <t xml:space="preserve">Tahun 2 (B13–B24)</t>
  </si>
  <si>
    <t xml:space="preserve">Total B0–B24</t>
  </si>
  <si>
    <t xml:space="preserve">Periode</t>
  </si>
  <si>
    <t xml:space="preserve">Pra-launch</t>
  </si>
  <si>
    <t xml:space="preserve">RINGKASAN SKENARIO AKTIF (CHOOSE dari blok di bawah)</t>
  </si>
  <si>
    <t xml:space="preserve">Transaksi selesai — skenario aktif</t>
  </si>
  <si>
    <t xml:space="preserve">trx</t>
  </si>
  <si>
    <t xml:space="preserve">GMV bruto — skenario aktif</t>
  </si>
  <si>
    <t xml:space="preserve">Pendapatan bersih — skenario aktif</t>
  </si>
  <si>
    <t xml:space="preserve">Margin kontribusi — skenario aktif</t>
  </si>
  <si>
    <t xml:space="preserve">Biaya akuisisi &amp; tetap — skenario aktif</t>
  </si>
  <si>
    <t xml:space="preserve">EBITDA — skenario aktif</t>
  </si>
  <si>
    <t xml:space="preserve">Kas kumulatif — skenario aktif</t>
  </si>
  <si>
    <t xml:space="preserve">SKENARIO KONSERVATIF — input dari Asumsi kolom D, unit economics dari kolom C</t>
  </si>
  <si>
    <t xml:space="preserve">Pasokan traveler</t>
  </si>
  <si>
    <t xml:space="preserve">Traveler terverifikasi baru (B0 = peserta beta)</t>
  </si>
  <si>
    <t xml:space="preserve">Basis traveler terverifikasi (akhir bulan)</t>
  </si>
  <si>
    <t xml:space="preserve">Traveler aktif (punya trip)</t>
  </si>
  <si>
    <t xml:space="preserve">Kapasitas pesanan</t>
  </si>
  <si>
    <t xml:space="preserve">Permintaan pembeli</t>
  </si>
  <si>
    <t xml:space="preserve">Pembeli baru — organik</t>
  </si>
  <si>
    <t xml:space="preserve">Anggaran marketing kas</t>
  </si>
  <si>
    <t xml:space="preserve">Pembeli baru — marketing (anggaran ÷ CAC)</t>
  </si>
  <si>
    <t xml:space="preserve">Basis pembeli retensi (awal bulan)</t>
  </si>
  <si>
    <t xml:space="preserve">Pembeli baru — referral (sebelum cap anggaran)</t>
  </si>
  <si>
    <t xml:space="preserve">Credit referral pembeli sebelum cap anggaran</t>
  </si>
  <si>
    <t xml:space="preserve">Faktor cap anggaran referral global</t>
  </si>
  <si>
    <t xml:space="preserve">Pembeli baru — referral (efektif)</t>
  </si>
  <si>
    <t xml:space="preserve">Total pembeli baru (permintaan)</t>
  </si>
  <si>
    <t xml:space="preserve">Permintaan transaksi</t>
  </si>
  <si>
    <t xml:space="preserve">Transaksi dibayar = MIN(permintaan, kapasitas)</t>
  </si>
  <si>
    <t xml:space="preserve">Fill rate (likuiditas)</t>
  </si>
  <si>
    <t xml:space="preserve">Basis pembeli (akhir bulan)</t>
  </si>
  <si>
    <t xml:space="preserve">Transaksi batal setelah bayar</t>
  </si>
  <si>
    <t xml:space="preserve">Transaksi selesai (COMPLETED)</t>
  </si>
  <si>
    <t xml:space="preserve">Sisi pembatas</t>
  </si>
  <si>
    <t xml:space="preserve">Nilai &amp; pendapatan</t>
  </si>
  <si>
    <t xml:space="preserve">GMV bruto (Σ TOTAL transaksi selesai)</t>
  </si>
  <si>
    <t xml:space="preserve">Nilai barang (pass-through)</t>
  </si>
  <si>
    <t xml:space="preserve">Pendapatan bruto platform (platform + protection fee)</t>
  </si>
  <si>
    <t xml:space="preserve">(−) Promo platform fee gratis</t>
  </si>
  <si>
    <t xml:space="preserve">(−) Credit referral pembeli ditebus (cap per perujuk)</t>
  </si>
  <si>
    <t xml:space="preserve">(−) Credit referral traveler ditebus</t>
  </si>
  <si>
    <t xml:space="preserve">Pendapatan bersih</t>
  </si>
  <si>
    <t xml:space="preserve">Take rate bruto (÷ GMV)</t>
  </si>
  <si>
    <t xml:space="preserve">Credit referral per transaksi selesai</t>
  </si>
  <si>
    <t xml:space="preserve">Rp/trx</t>
  </si>
  <si>
    <t xml:space="preserve">Biaya variabel</t>
  </si>
  <si>
    <t xml:space="preserve">Subsidi kanal pembayaran (biaya Xendit − dibebankan)</t>
  </si>
  <si>
    <t xml:space="preserve">Biaya payout ke traveler</t>
  </si>
  <si>
    <t xml:space="preserve">Klaim JastipKita Protection</t>
  </si>
  <si>
    <t xml:space="preserve">CS &amp; operasional variabel</t>
  </si>
  <si>
    <t xml:space="preserve">Chargeback kartu</t>
  </si>
  <si>
    <t xml:space="preserve">Biaya transaksi batal (Xendit hangus + refund via payout)</t>
  </si>
  <si>
    <t xml:space="preserve">Onboarding (OTP pembeli baru, e-KYC + penny-drop traveler baru)</t>
  </si>
  <si>
    <t xml:space="preserve">Total biaya variabel</t>
  </si>
  <si>
    <t xml:space="preserve">Margin kontribusi</t>
  </si>
  <si>
    <t xml:space="preserve">Biaya akuisisi &amp; tetap</t>
  </si>
  <si>
    <t xml:space="preserve">Marketing (kas)</t>
  </si>
  <si>
    <t xml:space="preserve">SDM inti (termasuk overhead)</t>
  </si>
  <si>
    <t xml:space="preserve">Infrastruktur &amp; SaaS</t>
  </si>
  <si>
    <t xml:space="preserve">Kepatuhan berulang</t>
  </si>
  <si>
    <t xml:space="preserve">Kantor &amp; umum</t>
  </si>
  <si>
    <t xml:space="preserve">Akun toko aplikasi</t>
  </si>
  <si>
    <t xml:space="preserve">Pendirian, legal, pentest (sekali)</t>
  </si>
  <si>
    <t xml:space="preserve">Cadangan tak terduga</t>
  </si>
  <si>
    <t xml:space="preserve">Total biaya akuisisi &amp; tetap</t>
  </si>
  <si>
    <t xml:space="preserve">Laba &amp; kas</t>
  </si>
  <si>
    <t xml:space="preserve">EBITDA (laba operasi sebelum pajak)</t>
  </si>
  <si>
    <t xml:space="preserve">Penyesuaian lag penerimaan fee</t>
  </si>
  <si>
    <t xml:space="preserve">Arus kas operasi</t>
  </si>
  <si>
    <t xml:space="preserve">Kas kumulatif (mulai 0 = kebutuhan dana)</t>
  </si>
  <si>
    <t xml:space="preserve">Penanda bulan EBITDA ≥ 0 (999 = belum)</t>
  </si>
  <si>
    <t xml:space="preserve">SKENARIO DASAR — input dari Asumsi kolom E, unit economics dari kolom D</t>
  </si>
  <si>
    <t xml:space="preserve">SKENARIO OPTIMIS — input dari Asumsi kolom F, unit economics dari kolom E</t>
  </si>
  <si>
    <t xml:space="preserve">Catatan keterbatasan data: volume (traveler, pembeli, frekuensi), CAC, churn, biaya SDM, kepatuhan dan biaya sekali adalah ASUMSI tanpa data JastipKita; credit referral diakui saat ditebus pada bulan yang sama (penyederhanaan); PPh Badan tidak dimodelkan (model pra-pajak; kompensasi rugi fiskal). Lihat sheet Sumber.</t>
  </si>
  <si>
    <t xml:space="preserve">Analisis Sensitivitas — skenario aktif</t>
  </si>
  <si>
    <t xml:space="preserve">Basis dari skenario aktif</t>
  </si>
  <si>
    <t xml:space="preserve">GMV per transaksi (TOTAL)</t>
  </si>
  <si>
    <t xml:space="preserve">Nilai barang per transaksi</t>
  </si>
  <si>
    <t xml:space="preserve">Biaya variabel per transaksi (subsidi bayar, payout, klaim, CS, chargeback, batal)</t>
  </si>
  <si>
    <t xml:space="preserve">Biaya tetap + marketing per bulan (rata-rata Th2, tanpa biaya sekali)</t>
  </si>
  <si>
    <t xml:space="preserve">Take rate bersih saat ini (pendapatan bersih ÷ GMV)</t>
  </si>
  <si>
    <t xml:space="preserve">Pendapatan bersih per transaksi saat ini</t>
  </si>
  <si>
    <t xml:space="preserve">Margin kontribusi per transaksi saat ini</t>
  </si>
  <si>
    <t xml:space="preserve">BEP transaksi/bulan saat ini</t>
  </si>
  <si>
    <t xml:space="preserve">1. EBITDA bulanan (Rp juta) = transaksi × (take rate bersih × GMV/trx − biaya variabel/trx) − biaya tetap &amp; marketing</t>
  </si>
  <si>
    <t xml:space="preserve">Take rate bersih ↓ · transaksi selesai/bulan →</t>
  </si>
  <si>
    <t xml:space="preserve">Setara % nilai barang</t>
  </si>
  <si>
    <t xml:space="preserve">Penyederhanaan: biaya variabel per transaksi dianggap tetap terhadap take rate (klaim proteksi sebenarnya ikut protection fee).</t>
  </si>
  <si>
    <t xml:space="preserve">2. Subsidi kanal pembayaran: biaya VA yang dibebankan ke pembeli × porsi VA (skenario aktif)</t>
  </si>
  <si>
    <t xml:space="preserve">Biaya Xendit per transaksi VA</t>
  </si>
  <si>
    <t xml:space="preserve">VA dibebankan saat ini (config)</t>
  </si>
  <si>
    <t xml:space="preserve">Porsi VA saat ini</t>
  </si>
  <si>
    <t xml:space="preserve">Subsidi rata-rata saat ini (bauran)</t>
  </si>
  <si>
    <t xml:space="preserve">Biaya bayar rata-rata yang dibebankan ke pembeli (bauran)</t>
  </si>
  <si>
    <t xml:space="preserve">TOTAL dibayar pembeli saat ini</t>
  </si>
  <si>
    <t xml:space="preserve">Subsidi rata-rata per transaksi non-VA</t>
  </si>
  <si>
    <t xml:space="preserve">Tabel 2a — Margin kontribusi per transaksi (Rp)</t>
  </si>
  <si>
    <t xml:space="preserve">VA dibebankan (Rp) ↓ · porsi VA →</t>
  </si>
  <si>
    <t xml:space="preserve">Tabel 2b — BEP transaksi selesai per bulan (biaya tetap + marketing Th2 ÷ CM)</t>
  </si>
  <si>
    <t xml:space="preserve">Rp14.430 = biaya VA Xendit penuh (pass-through). Penyederhanaan: biaya pembatalan tidak dihitung ulang; perubahan biaya bisa menggeser bauran kanal (gunakan sumbu porsi VA).</t>
  </si>
  <si>
    <t xml:space="preserve">Tabel 2c — Kebijakan biaya kanal pembayaran (bauran kanal skenario aktif)</t>
  </si>
  <si>
    <t xml:space="preserve">Kebijakan</t>
  </si>
  <si>
    <t xml:space="preserve">Subsidi / biaya bayar ditanggung platform per trx (Rp)</t>
  </si>
  <si>
    <t xml:space="preserve">Margin kontribusi per trx (Rp)</t>
  </si>
  <si>
    <t xml:space="preserve">BEP trx/bulan</t>
  </si>
  <si>
    <t xml:space="preserve">TOTAL dibayar pembeli (Rp)</t>
  </si>
  <si>
    <t xml:space="preserve">(a) Config saat ini (bearer BUYER, tarif config)</t>
  </si>
  <si>
    <t xml:space="preserve">(b) VA dibebankan penuh sesuai biaya Xendit; kanal lain tetap</t>
  </si>
  <si>
    <t xml:space="preserve">(c) Semua kanal dibebankan sesuai biaya Xendit (subsidi 0)</t>
  </si>
  <si>
    <t xml:space="preserve">(d) Platform menanggung seluruh biaya bayar (tanpa PAYMENT_FEE)</t>
  </si>
  <si>
    <t xml:space="preserve">Penyederhanaan: biaya berbasis persen atas TOTAL dan biaya pembatalan tidak dihitung ulang setelah perubahan biaya bayar (selisih kecil).</t>
  </si>
  <si>
    <t xml:space="preserve">3. Rata-rata nilai barang (keranjang) — skenario aktif; rincian perhitungan di bawah</t>
  </si>
  <si>
    <t xml:space="preserve">Komponen per transaksi</t>
  </si>
  <si>
    <t xml:space="preserve">Rp0,5 jt</t>
  </si>
  <si>
    <t xml:space="preserve">Rp1 jt</t>
  </si>
  <si>
    <t xml:space="preserve">Rp1,5 jt</t>
  </si>
  <si>
    <t xml:space="preserve">Rp2 jt</t>
  </si>
  <si>
    <t xml:space="preserve">Rp2,5 jt</t>
  </si>
  <si>
    <t xml:space="preserve">Rp3 jt</t>
  </si>
  <si>
    <t xml:space="preserve">Rp4 jt</t>
  </si>
  <si>
    <t xml:space="preserve">Rp5 jt</t>
  </si>
  <si>
    <t xml:space="preserve">Rp7,5 jt</t>
  </si>
  <si>
    <t xml:space="preserve">Rp10 jt</t>
  </si>
  <si>
    <t xml:space="preserve">Nilai barang</t>
  </si>
  <si>
    <t xml:space="preserve">TOTAL dibayar pembeli</t>
  </si>
  <si>
    <t xml:space="preserve">Klaim proteksi</t>
  </si>
  <si>
    <t xml:space="preserve">BEP transaksi/bulan</t>
  </si>
  <si>
    <t xml:space="preserve">GMV pada BEP (Rp juta/bulan)</t>
  </si>
  <si>
    <t xml:space="preserve">TOTAL ≤ batas QRIS Rp10 jt</t>
  </si>
  <si>
    <t xml:space="preserve">Level KYC pembeli minimum</t>
  </si>
  <si>
    <t xml:space="preserve">Keranjang dengan TOTAL &gt; Rp10 jt tidak bisa memakai QRIS (bauran kanal tidak disesuaikan otomatis); BEP memakai biaya tetap + marketing Th2 skenario aktif.</t>
  </si>
  <si>
    <t xml:space="preserve">Rincian perhitungan (struktur identik dengan sheet Unit Economics)</t>
  </si>
  <si>
    <t xml:space="preserve">Indeks skenario (aktif)</t>
  </si>
  <si>
    <t xml:space="preserve">Catatan keterbatasan data: semua sumbu sensitivitas memakai asumsi skenario aktif; biaya tetap Th2 dan biaya variabel berasal dari Proyeksi &amp; Unit Economics (ASUMSI). Lihat sheet Sumber.</t>
  </si>
  <si>
    <t xml:space="preserve">Sumber &amp; Catatan Keterbatasan Data</t>
  </si>
  <si>
    <t xml:space="preserve">Repo: /home/claude/jastipkita (dibaca 2026-10-04). URL publik diakses 2026-10-04 kecuali disebut lain.</t>
  </si>
  <si>
    <t xml:space="preserve">No</t>
  </si>
  <si>
    <t xml:space="preserve">Sumber</t>
  </si>
  <si>
    <t xml:space="preserve">Lokasi (path repo / URL)</t>
  </si>
  <si>
    <t xml:space="preserve">Dipakai untuk</t>
  </si>
  <si>
    <t xml:space="preserve">Tanggal akses / verifikasi</t>
  </si>
  <si>
    <t xml:space="preserve">Business config default v1</t>
  </si>
  <si>
    <t xml:space="preserve">packages/core/src/config/business-config.defaults.json</t>
  </si>
  <si>
    <t xml:space="preserve">Platform fee 5% (Rp10 rb–750 rb), protection 1,5% (Rp5 rb–300 rb), PPN layanan 12% × 0,916667, traveler fee min Rp25 rb &amp; maks 30%, biaya kanal dibebankan (VA Rp4.500, QRIS 0,7%, e-wallet 1,5%, kartu Rp2.000 + 2,9%), referral (Rp25 rb/25 rb, min Rp500 rb, cap Rp250 rb/bln, traveler Rp50 rb), limit transaksi, payoutFeeIdr 0, markup FX</t>
  </si>
  <si>
    <t xml:space="preserve">2026-10-04</t>
  </si>
  <si>
    <t xml:space="preserve">Repo (config bertanda asumsi untuk payment_fees, service_tax, limits)</t>
  </si>
  <si>
    <t xml:space="preserve">Pricing engine</t>
  </si>
  <si>
    <t xml:space="preserve">packages/core/src/pricing/index.ts</t>
  </si>
  <si>
    <t xml:space="preserve">Urutan hitung 11 baris, clamp fee, batas traveler fee (cap lalu min), gross-up biaya bayar T = ceil((P + fixed)/(1 − r)), PPN atas platform + protection, alokasi bucket</t>
  </si>
  <si>
    <t xml:space="preserve">Repo</t>
  </si>
  <si>
    <t xml:space="preserve">Domain model</t>
  </si>
  <si>
    <t xml:space="preserve">docs/00-domain-model.md §9–§10</t>
  </si>
  <si>
    <t xml:space="preserve">Daftar &amp; urutan 11 baris harga; bucket ledger</t>
  </si>
  <si>
    <t xml:space="preserve">Payments &amp; ledger</t>
  </si>
  <si>
    <t xml:space="preserve">docs/04-payments-ledger.md</t>
  </si>
  <si>
    <t xml:space="preserve">COMPLETION_RELEASE: traveler menerima harga aktual + bea dibayar + traveler fee; sisa dana barang/bea dikembalikan ke pembeli (markup FX bukan pendapatan); refund VA via payout</t>
  </si>
  <si>
    <t xml:space="preserve">Seed aturan bea</t>
  </si>
  <si>
    <t xml:space="preserve">db/seeds/0100_customs_rules.sql (ID_PAX_NON_PERSONAL v1)</t>
  </si>
  <si>
    <t xml:space="preserve">BM 10%, PPN 12% × 0,916667, PPh 5%, pembulatan CEIL_1000 semua komponen</t>
  </si>
  <si>
    <t xml:space="preserve">Repo — status DRAFT sampai verifikasi konsultan (L7)</t>
  </si>
  <si>
    <t xml:space="preserve">Riset kepabeanan &amp; pajak</t>
  </si>
  <si>
    <t xml:space="preserve">docs/research/01-customs-tax-indonesia.md</t>
  </si>
  <si>
    <t xml:space="preserve">PMK 34/2025 (jastip = non-pribadi), PMK 131/2024, beban ±27,6%, kurs JISDOR 17.917 (25–27 Sep 2026)</t>
  </si>
  <si>
    <t xml:space="preserve">diverifikasi 2026-09-27</t>
  </si>
  <si>
    <t xml:space="preserve">Riset desk, bukan opini ahli</t>
  </si>
  <si>
    <t xml:space="preserve">Riset Xendit</t>
  </si>
  <si>
    <t xml:space="preserve">docs/research/02-xendit-integration.md §1.3, §4, §8</t>
  </si>
  <si>
    <t xml:space="preserve">Tarif publik Xendit, contoh PPN 11% atas fee, batas QRIS Rp10 jt, VA tidak bisa refund, chargeback USD 25</t>
  </si>
  <si>
    <t xml:space="preserve">Harga publik, bukan kontrak</t>
  </si>
  <si>
    <t xml:space="preserve">Xendit — halaman harga Indonesia</t>
  </si>
  <si>
    <t xml:space="preserve">https://www.xendit.co/en-id/pricing/</t>
  </si>
  <si>
    <t xml:space="preserve">VA Rp9.000 + Rp4.000; QRIS 0,70% incl. VAT + Rp4.000; OVO 3,00–5,50%, DANA 2,00–3,50%, ShopeePay 2,50–3,60%, GoPay 3,00–5,00% (+Rp4.000); kartu 2,90% + Rp2.000 + Rp4.000; payout 1,00% (min Rp2.500) + Rp4.000; 'exclusive of taxes'</t>
  </si>
  <si>
    <t xml:space="preserve">Diverifikasi web; DANA berubah dari 3,00–3,50% (research 02)</t>
  </si>
  <si>
    <t xml:space="preserve">Riset pasar &amp; nama</t>
  </si>
  <si>
    <t xml:space="preserve">docs/research/04-market-and-naming.md</t>
  </si>
  <si>
    <t xml:space="preserve">Traveler fee lazim 5–15%; pesaing; tidak ada data ukuran pasar kredibel; risiko merek TINGGI</t>
  </si>
  <si>
    <t xml:space="preserve">Riset desk</t>
  </si>
  <si>
    <t xml:space="preserve">Riset legal &amp; regulasi</t>
  </si>
  <si>
    <t xml:space="preserve">docs/research/05-legal-regulatory.md</t>
  </si>
  <si>
    <t xml:space="preserve">Ambang PKP Rp4,8 M; PMK 37/2025 PPh 22 marketplace; PSE &amp; PPMSE via OSS tanpa biaya</t>
  </si>
  <si>
    <t xml:space="preserve">Bukan nasihat hukum</t>
  </si>
  <si>
    <t xml:space="preserve">Arsitektur — tier infrastruktur</t>
  </si>
  <si>
    <t xml:space="preserve">docs/01-architecture.md §10–§11</t>
  </si>
  <si>
    <t xml:space="preserve">Tahap 0 US$0; tahap 1 ≈ US$5 + US$19–30/bulan; tahap 2 +US$20–50; tahap 3 case by case; risiko W1–W10</t>
  </si>
  <si>
    <t xml:space="preserve">Repo (biaya bertanda ASUMSI)</t>
  </si>
  <si>
    <t xml:space="preserve">Status serah terima</t>
  </si>
  <si>
    <t xml:space="preserve">docs/STATUS.md §2, §5b</t>
  </si>
  <si>
    <t xml:space="preserve">Semua integrasi MOCK/SANDBOX; daftar biaya owner (Play ±US$25, Apple US$99/thn, infra); vendor e-KYC belum dipilih</t>
  </si>
  <si>
    <t xml:space="preserve">Cloudflare Workers pricing</t>
  </si>
  <si>
    <t xml:space="preserve">https://developers.cloudflare.com/workers/platform/pricing/</t>
  </si>
  <si>
    <t xml:space="preserve">Workers Paid US$5/bulan (10 jt request, 30 jt CPU-ms termasuk)</t>
  </si>
  <si>
    <t xml:space="preserve">Diverifikasi web</t>
  </si>
  <si>
    <t xml:space="preserve">Neon pricing</t>
  </si>
  <si>
    <t xml:space="preserve">https://neon.com/pricing</t>
  </si>
  <si>
    <t xml:space="preserve">Launch: US$0,106/CU-jam, storage US$0,35/GB-bulan, PITR US$0,20/GB-bulan s.d. 7 hari, tanpa minimum</t>
  </si>
  <si>
    <t xml:space="preserve">Google Play Console fee</t>
  </si>
  <si>
    <t xml:space="preserve">https://support.google.com/googleplay/android-developer/answer/6112435</t>
  </si>
  <si>
    <t xml:space="preserve">US$25 sekali</t>
  </si>
  <si>
    <t xml:space="preserve">Apple Developer Program</t>
  </si>
  <si>
    <t xml:space="preserve">https://developer.apple.com/support/enrollment/</t>
  </si>
  <si>
    <t xml:space="preserve">US$99/tahun; organisasi wajib D-U-N-S</t>
  </si>
  <si>
    <t xml:space="preserve">Twilio SMS Indonesia</t>
  </si>
  <si>
    <t xml:space="preserve">https://www.twilio.com/en-us/sms/pricing/id</t>
  </si>
  <si>
    <t xml:space="preserve">US$0,4414 per segmen SMS ke Indonesia (biaya OTP)</t>
  </si>
  <si>
    <t xml:space="preserve">Diverifikasi web; carrier fee bisa menambah</t>
  </si>
  <si>
    <t xml:space="preserve">Rencana peluncuran</t>
  </si>
  <si>
    <t xml:space="preserve">docs/marketing/launch-plan.md §1–§10</t>
  </si>
  <si>
    <t xml:space="preserve">Fase &amp; gerbang, anggaran Rp0/5 jt/25 jt, CAC iklan ±Rp266.667, loss ratio 40%, CS Rp10 rb, payout Rp5 rb, pemakaian credit 70%, cap anggaran referral USULAN Rp2 jt</t>
  </si>
  <si>
    <t xml:space="preserve">USULAN — belum disetujui owner</t>
  </si>
  <si>
    <t xml:space="preserve">Launch checklist</t>
  </si>
  <si>
    <t xml:space="preserve">docs/checklists/launch-checklist.md</t>
  </si>
  <si>
    <t xml:space="preserve">B4 subsidi VA ±Rp9.930; L8 PKP; L9 protection; gerbang biaya sekali (L1–L15, T3)</t>
  </si>
  <si>
    <t xml:space="preserve">Semua gerbang BELUM per 2026-09-28</t>
  </si>
  <si>
    <t xml:space="preserve">Store checklist</t>
  </si>
  <si>
    <t xml:space="preserve">docs/checklists/store-checklist.md</t>
  </si>
  <si>
    <t xml:space="preserve">Akun organisasi Google/Apple, D-U-N-S</t>
  </si>
  <si>
    <t xml:space="preserve">PP 20/2026 (PPh final UMKM)</t>
  </si>
  <si>
    <t xml:space="preserve">https://news.ddtc.co.id/berita/nasional/1819737/pp-direvisi-pph-final-umkm-cuma-untuk-op-pt-perorangan-dan-koperasi ; https://www.pajak.go.id/en/node/119954</t>
  </si>
  <si>
    <t xml:space="preserve">PT (non-perorangan) tidak lagi dapat PPh final 0,5% → PPh Badan atas laba; model disajikan pra-pajak</t>
  </si>
  <si>
    <t xml:space="preserve">Sumber sekunder; tanggal berlaku berbeda antar-sumber (22 Apr vs 2 Jun 2026) — NEEDS_VERIFICATION konsultan pajak</t>
  </si>
  <si>
    <t xml:space="preserve">Catatan keterbatasan data</t>
  </si>
  <si>
    <t xml:space="preserve">1. Pra-launch: belum ada transaksi nyata; semua integrasi MOCK/SANDBOX (docs/STATUS.md). Seluruh volume (traveler, pembeli, frekuensi, churn), CAC, bauran kanal, tingkat batal, loss ratio proteksi dan biaya CS adalah ASUMSI.</t>
  </si>
  <si>
    <t xml:space="preserve">2. Tidak ada data ukuran pasar jastip yang kredibel (research 04) — model dibangun bottom-up dari kapasitas traveler &amp; funnel pembeli, bukan dari TAM.</t>
  </si>
  <si>
    <t xml:space="preserve">3. Tarif Xendit = harga publik (2026-10-04), bukan kontrak. Biaya payout (1% + Rp4.000) dan biaya xenPlatform NEEDS_VERIFICATION; PPN atas fee diperlakukan sebagai biaya (asumsi tidak dikreditkan).</t>
  </si>
  <si>
    <t xml:space="preserve">4. Bea masuk &amp; pajak impor adalah estimasi pass-through (seed DRAFT, PMK 34/2025); PPh tanpa NPWP (10%) dan praktik pembulatan CD belum diverifikasi. Bukan pendapatan platform.</t>
  </si>
  <si>
    <t xml:space="preserve">5. PPN layanan hanya boleh dipungut bila PT sudah PKP (L8); di model diperlakukan pass-through sehingga tidak mengubah pendapatan bersih.</t>
  </si>
  <si>
    <t xml:space="preserve">6. JastipKita Protection belum punya mitra asuransi (L9); bila diasuransikan, protection fee dapat berubah menjadi premi (pass-through) dikurangi komisi.</t>
  </si>
  <si>
    <t xml:space="preserve">7. Credit referral diakui saat ditebus pada bulan yang sama (penyederhanaan); cap per perujuk (config) ditegakkan via MIN(); cap anggaran global Rp2 jt adalah USULAN (sakelar default 0).</t>
  </si>
  <si>
    <t xml:space="preserve">8. Biaya SDM, kepatuhan dan biaya sekali (PT, legal, kepabeanan, pajak, merek, pentest, DPIA) adalah ASUMSI — minta penawaran (STATUS §5b). Rencana biaya sama di ketiga skenario agar skenario hanya mencerminkan ketidakpastian pasar &amp; tarif.</t>
  </si>
  <si>
    <t xml:space="preserve">9. Model pra-pajak: PPh Badan tidak dimodelkan (PT baru tidak dapat PPh final 0,5% per PP 20/2026 — sumber sekunder; rugi fiskal dapat dikompensasikan). Dana escrow pembeli di saldo Xendit bukan kas perusahaan dan tidak masuk arus kas.</t>
  </si>
  <si>
    <t xml:space="preserve">10. Regulasi yang dapat mengubah model: status traveler sebagai 'pedagang' (Permendag 19/2026), FOB USD 100 Pasal 23, penunjukan pemungut PPh 22 (PMK 37/2025), kelayakan escrow (PBI 23/6/2021), status merek 'JastipKita'.</t>
  </si>
  <si>
    <t xml:space="preserve">11. Dokumen ini bukan nasihat keuangan, investasi, hukum, atau pajak.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</si>
</sst>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yyyy"/>
    <numFmt numFmtId="166" formatCode="#,##0;\(#,##0\);\-"/>
    <numFmt numFmtId="167" formatCode="0.0%;\(0.0%\);\-"/>
    <numFmt numFmtId="168" formatCode="#,##0.0;\(#,##0.0\);\-"/>
    <numFmt numFmtId="169" formatCode="0.00%;\(0.00%\);\-"/>
    <numFmt numFmtId="170" formatCode="0"/>
    <numFmt numFmtId="171" formatCode="0.000000"/>
    <numFmt numFmtId="172" formatCode="&quot;US$&quot;#,##0.00"/>
    <numFmt numFmtId="173" formatCode="#,##0.00;\(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Kas kumulatif (Rp juta)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Ringkasan!B60</c:f>
              <c:strCache>
                <c:ptCount val="1"/>
                <c:pt idx="0">
                  <c:v>Konservatif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Ringkasan!$C$59:$AA$59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Ringkasan!$C$60:$AA$60</c:f>
              <c:numCache>
                <c:formatCode>#,##0.0;\(#,##0.0\);\-</c:formatCode>
                <c:ptCount val="25"/>
                <c:pt idx="0">
                  <c:v>-474.72607557</c:v>
                </c:pt>
                <c:pt idx="1">
                  <c:v>-577.918517586266</c:v>
                </c:pt>
                <c:pt idx="2">
                  <c:v>-679.913145042566</c:v>
                </c:pt>
                <c:pt idx="3">
                  <c:v>-781.864723429589</c:v>
                </c:pt>
                <c:pt idx="4">
                  <c:v>-905.134058938618</c:v>
                </c:pt>
                <c:pt idx="5">
                  <c:v>-1028.37107367346</c:v>
                </c:pt>
                <c:pt idx="6">
                  <c:v>-1151.58109710269</c:v>
                </c:pt>
                <c:pt idx="7">
                  <c:v>-1274.76807058376</c:v>
                </c:pt>
                <c:pt idx="8">
                  <c:v>-1397.50817664532</c:v>
                </c:pt>
                <c:pt idx="9">
                  <c:v>-1520.18534778299</c:v>
                </c:pt>
                <c:pt idx="10">
                  <c:v>-1642.80220435989</c:v>
                </c:pt>
                <c:pt idx="11">
                  <c:v>-1765.36106282857</c:v>
                </c:pt>
                <c:pt idx="12">
                  <c:v>-1889.63775918406</c:v>
                </c:pt>
                <c:pt idx="13">
                  <c:v>-2090.76442934676</c:v>
                </c:pt>
                <c:pt idx="14">
                  <c:v>-2256.83977369824</c:v>
                </c:pt>
                <c:pt idx="15">
                  <c:v>-2422.86632445817</c:v>
                </c:pt>
                <c:pt idx="16">
                  <c:v>-2588.8453090823</c:v>
                </c:pt>
                <c:pt idx="17">
                  <c:v>-2754.7778328877</c:v>
                </c:pt>
                <c:pt idx="18">
                  <c:v>-2920.66489576039</c:v>
                </c:pt>
                <c:pt idx="19">
                  <c:v>-3086.50740681288</c:v>
                </c:pt>
                <c:pt idx="20">
                  <c:v>-3252.30619731494</c:v>
                </c:pt>
                <c:pt idx="21">
                  <c:v>-3418.06203218182</c:v>
                </c:pt>
                <c:pt idx="22">
                  <c:v>-3583.77562026683</c:v>
                </c:pt>
                <c:pt idx="23">
                  <c:v>-3749.44762367225</c:v>
                </c:pt>
                <c:pt idx="24">
                  <c:v>-3916.85244926274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Ringkasan!B61</c:f>
              <c:strCache>
                <c:ptCount val="1"/>
                <c:pt idx="0">
                  <c:v>Dasar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Ringkasan!$C$59:$AA$59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Ringkasan!$C$61:$AA$61</c:f>
              <c:numCache>
                <c:formatCode>#,##0.0;\(#,##0.0\);\-</c:formatCode>
                <c:ptCount val="25"/>
                <c:pt idx="0">
                  <c:v>-474.28624738</c:v>
                </c:pt>
                <c:pt idx="1">
                  <c:v>-577.61846110709</c:v>
                </c:pt>
                <c:pt idx="2">
                  <c:v>-677.764575549444</c:v>
                </c:pt>
                <c:pt idx="3">
                  <c:v>-776.969647034081</c:v>
                </c:pt>
                <c:pt idx="4">
                  <c:v>-896.466255231494</c:v>
                </c:pt>
                <c:pt idx="5">
                  <c:v>-1014.95312134711</c:v>
                </c:pt>
                <c:pt idx="6">
                  <c:v>-1132.39085335487</c:v>
                </c:pt>
                <c:pt idx="7">
                  <c:v>-1248.72970365066</c:v>
                </c:pt>
                <c:pt idx="8">
                  <c:v>-1362.83341410748</c:v>
                </c:pt>
                <c:pt idx="9">
                  <c:v>-1475.55673688248</c:v>
                </c:pt>
                <c:pt idx="10">
                  <c:v>-1586.81941480258</c:v>
                </c:pt>
                <c:pt idx="11">
                  <c:v>-1696.53282254918</c:v>
                </c:pt>
                <c:pt idx="12">
                  <c:v>-1806.3732932051</c:v>
                </c:pt>
                <c:pt idx="13">
                  <c:v>-1991.3191483209</c:v>
                </c:pt>
                <c:pt idx="14">
                  <c:v>-2139.3988042203</c:v>
                </c:pt>
                <c:pt idx="15">
                  <c:v>-2285.49149855384</c:v>
                </c:pt>
                <c:pt idx="16">
                  <c:v>-2429.45815567494</c:v>
                </c:pt>
                <c:pt idx="17">
                  <c:v>-2570.75606579647</c:v>
                </c:pt>
                <c:pt idx="18">
                  <c:v>-2710.03652228806</c:v>
                </c:pt>
                <c:pt idx="19">
                  <c:v>-2847.73583327226</c:v>
                </c:pt>
                <c:pt idx="20">
                  <c:v>-2983.83222243786</c:v>
                </c:pt>
                <c:pt idx="21">
                  <c:v>-3118.29620259497</c:v>
                </c:pt>
                <c:pt idx="22">
                  <c:v>-3251.09029902482</c:v>
                </c:pt>
                <c:pt idx="23">
                  <c:v>-3382.16873130506</c:v>
                </c:pt>
                <c:pt idx="24">
                  <c:v>-3513.2508343938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Ringkasan!B62</c:f>
              <c:strCache>
                <c:ptCount val="1"/>
                <c:pt idx="0">
                  <c:v>Optimis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Ringkasan!$C$59:$AA$59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strCache>
            </c:strRef>
          </c:cat>
          <c:val>
            <c:numRef>
              <c:f>Ringkasan!$C$62:$AA$62</c:f>
              <c:numCache>
                <c:formatCode>#,##0.0;\(#,##0.0\);\-</c:formatCode>
                <c:ptCount val="25"/>
                <c:pt idx="0">
                  <c:v>-474.088533285</c:v>
                </c:pt>
                <c:pt idx="1">
                  <c:v>-578.965177580019</c:v>
                </c:pt>
                <c:pt idx="2">
                  <c:v>-674.655683866101</c:v>
                </c:pt>
                <c:pt idx="3">
                  <c:v>-768.647113748501</c:v>
                </c:pt>
                <c:pt idx="4">
                  <c:v>-886.513284674375</c:v>
                </c:pt>
                <c:pt idx="5">
                  <c:v>-991.123291804538</c:v>
                </c:pt>
                <c:pt idx="6">
                  <c:v>-1090.41009925988</c:v>
                </c:pt>
                <c:pt idx="7">
                  <c:v>-1186.68032217021</c:v>
                </c:pt>
                <c:pt idx="8">
                  <c:v>-1277.09055330757</c:v>
                </c:pt>
                <c:pt idx="9">
                  <c:v>-1364.0324762584</c:v>
                </c:pt>
                <c:pt idx="10">
                  <c:v>-1447.3980502373</c:v>
                </c:pt>
                <c:pt idx="11">
                  <c:v>-1527.06013740121</c:v>
                </c:pt>
                <c:pt idx="12">
                  <c:v>-1604.64440445978</c:v>
                </c:pt>
                <c:pt idx="13">
                  <c:v>-1757.38794036596</c:v>
                </c:pt>
                <c:pt idx="14">
                  <c:v>-1862.80176571054</c:v>
                </c:pt>
                <c:pt idx="15">
                  <c:v>-1962.93591899636</c:v>
                </c:pt>
                <c:pt idx="16">
                  <c:v>-2057.55764903085</c:v>
                </c:pt>
                <c:pt idx="17">
                  <c:v>-2146.39956274797</c:v>
                </c:pt>
                <c:pt idx="18">
                  <c:v>-2229.15610659394</c:v>
                </c:pt>
                <c:pt idx="19">
                  <c:v>-2305.47965859576</c:v>
                </c:pt>
                <c:pt idx="20">
                  <c:v>-2374.97618902654</c:v>
                </c:pt>
                <c:pt idx="21">
                  <c:v>-2437.20044301296</c:v>
                </c:pt>
                <c:pt idx="22">
                  <c:v>-2491.65059336804</c:v>
                </c:pt>
                <c:pt idx="23">
                  <c:v>-2537.76230632157</c:v>
                </c:pt>
                <c:pt idx="24">
                  <c:v>-2576.67593960306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692812"/>
        <c:axId val="38157836"/>
      </c:lineChart>
      <c:catAx>
        <c:axId val="656928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Bulan sejak soft launch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57836"/>
        <c:crosses val="autoZero"/>
        <c:auto val="1"/>
        <c:lblAlgn val="ctr"/>
        <c:lblOffset val="100"/>
        <c:noMultiLvlLbl val="0"/>
      </c:catAx>
      <c:valAx>
        <c:axId val="38157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 juta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92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62</xdr:row>
      <xdr:rowOff>48240</xdr:rowOff>
    </xdr:from>
    <xdr:to>
      <xdr:col>6</xdr:col>
      <xdr:colOff>448200</xdr:colOff>
      <xdr:row>77</xdr:row>
      <xdr:rowOff>70560</xdr:rowOff>
    </xdr:to>
    <xdr:graphicFrame>
      <xdr:nvGraphicFramePr>
        <xdr:cNvPr id="0" name="Chart 1"/>
        <xdr:cNvGraphicFramePr/>
      </xdr:nvGraphicFramePr>
      <xdr:xfrm>
        <a:off x="141120" y="13716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7" min="4" style="0" width="15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tr">
        <f aca="false">"Skenario aktif (ubah di Asumsi!D4): "&amp;Asumsi!$D$4</f>
        <v>Skenario aktif (ubah di Asumsi!D4): Dasar</v>
      </c>
    </row>
    <row r="4" customFormat="false" ht="15" hidden="false" customHeight="false" outlineLevel="0" collapsed="false">
      <c r="A4" s="4" t="s">
        <v>2</v>
      </c>
      <c r="C4" s="5" t="n">
        <f aca="false">Asumsi!$G$10</f>
        <v>46419</v>
      </c>
      <c r="D4" s="3" t="str">
        <f aca="false">"Bulan 0 = pra-peluncuran (biaya sekali + "&amp;Asumsi!$G$11&amp;" bulan biaya tim &amp; infra)"</f>
        <v>Bulan 0 = pra-peluncuran (biaya sekali + 3 bulan biaya tim &amp; infra)</v>
      </c>
    </row>
    <row r="6" customFormat="false" ht="15" hidden="false" customHeight="false" outlineLevel="0" collapsed="false">
      <c r="A6" s="6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</row>
    <row r="7" customFormat="false" ht="15" hidden="false" customHeight="false" outlineLevel="0" collapsed="false">
      <c r="A7" s="7" t="s">
        <v>10</v>
      </c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B8" s="4" t="s">
        <v>11</v>
      </c>
      <c r="C8" s="2" t="s">
        <v>12</v>
      </c>
      <c r="D8" s="9" t="n">
        <f aca="false">'Proyeksi 24 Bulan'!$AB$38</f>
        <v>649.033001721675</v>
      </c>
      <c r="E8" s="9" t="n">
        <f aca="false">'Proyeksi 24 Bulan'!$AB$101</f>
        <v>1581.97580895153</v>
      </c>
      <c r="F8" s="9" t="n">
        <f aca="false">'Proyeksi 24 Bulan'!$AB$164</f>
        <v>3445.19499266064</v>
      </c>
      <c r="G8" s="10" t="n">
        <f aca="false">CHOOSE(Asumsi!$D$5,D8,E8,F8)</f>
        <v>1581.97580895153</v>
      </c>
      <c r="H8" s="2" t="s">
        <v>13</v>
      </c>
    </row>
    <row r="9" customFormat="false" ht="15" hidden="false" customHeight="false" outlineLevel="0" collapsed="false">
      <c r="B9" s="4" t="s">
        <v>14</v>
      </c>
      <c r="C9" s="2" t="s">
        <v>12</v>
      </c>
      <c r="D9" s="9" t="n">
        <f aca="false">'Proyeksi 24 Bulan'!$AC$38</f>
        <v>1621.4577902344</v>
      </c>
      <c r="E9" s="9" t="n">
        <f aca="false">'Proyeksi 24 Bulan'!$AC$101</f>
        <v>5230.53945140174</v>
      </c>
      <c r="F9" s="9" t="n">
        <f aca="false">'Proyeksi 24 Bulan'!$AC$164</f>
        <v>11620.5186483464</v>
      </c>
      <c r="G9" s="10" t="n">
        <f aca="false">CHOOSE(Asumsi!$D$5,D9,E9,F9)</f>
        <v>5230.53945140174</v>
      </c>
      <c r="H9" s="2" t="s">
        <v>15</v>
      </c>
    </row>
    <row r="10" customFormat="false" ht="15" hidden="false" customHeight="false" outlineLevel="0" collapsed="false">
      <c r="B10" s="4" t="s">
        <v>16</v>
      </c>
      <c r="C10" s="2" t="s">
        <v>17</v>
      </c>
      <c r="D10" s="9" t="n">
        <f aca="false">'Proyeksi 24 Bulan'!$AA$38</f>
        <v>178.163609311603</v>
      </c>
      <c r="E10" s="9" t="n">
        <f aca="false">'Proyeksi 24 Bulan'!$AA$101</f>
        <v>589.4511559966</v>
      </c>
      <c r="F10" s="9" t="n">
        <f aca="false">'Proyeksi 24 Bulan'!$AA$164</f>
        <v>1424.80581321172</v>
      </c>
      <c r="G10" s="10" t="n">
        <f aca="false">CHOOSE(Asumsi!$D$5,D10,E10,F10)</f>
        <v>589.4511559966</v>
      </c>
      <c r="H10" s="2" t="s">
        <v>18</v>
      </c>
    </row>
    <row r="11" customFormat="false" ht="15" hidden="false" customHeight="false" outlineLevel="0" collapsed="false">
      <c r="B11" s="4" t="s">
        <v>19</v>
      </c>
      <c r="C11" s="2" t="s">
        <v>20</v>
      </c>
      <c r="D11" s="9" t="n">
        <f aca="false">'Proyeksi 24 Bulan'!$AA$21</f>
        <v>77.4624388311319</v>
      </c>
      <c r="E11" s="9" t="n">
        <f aca="false">'Proyeksi 24 Bulan'!$AA$84</f>
        <v>263.630220437034</v>
      </c>
      <c r="F11" s="9" t="n">
        <f aca="false">'Proyeksi 24 Bulan'!$AA$147</f>
        <v>983.665451948007</v>
      </c>
      <c r="G11" s="10" t="n">
        <f aca="false">CHOOSE(Asumsi!$D$5,D11,E11,F11)</f>
        <v>263.630220437034</v>
      </c>
      <c r="H11" s="2" t="s">
        <v>21</v>
      </c>
    </row>
    <row r="12" customFormat="false" ht="15" hidden="false" customHeight="false" outlineLevel="0" collapsed="false">
      <c r="B12" s="4" t="s">
        <v>22</v>
      </c>
      <c r="C12" s="2" t="s">
        <v>20</v>
      </c>
      <c r="D12" s="9" t="n">
        <f aca="false">'Proyeksi 24 Bulan'!$AA$36</f>
        <v>966.714153427915</v>
      </c>
      <c r="E12" s="9" t="n">
        <f aca="false">'Proyeksi 24 Bulan'!$AA$99</f>
        <v>2811.6580411542</v>
      </c>
      <c r="F12" s="9" t="n">
        <f aca="false">'Proyeksi 24 Bulan'!$AA$162</f>
        <v>6302.47129821749</v>
      </c>
      <c r="G12" s="10" t="n">
        <f aca="false">CHOOSE(Asumsi!$D$5,D12,E12,F12)</f>
        <v>2811.6580411542</v>
      </c>
      <c r="H12" s="2" t="s">
        <v>23</v>
      </c>
    </row>
    <row r="13" customFormat="false" ht="15" hidden="false" customHeight="false" outlineLevel="0" collapsed="false">
      <c r="B13" s="4" t="s">
        <v>24</v>
      </c>
      <c r="C13" s="2" t="s">
        <v>25</v>
      </c>
      <c r="D13" s="11" t="n">
        <f aca="false">'Proyeksi 24 Bulan'!$AC$35</f>
        <v>0.718052973585125</v>
      </c>
      <c r="E13" s="11" t="n">
        <f aca="false">'Proyeksi 24 Bulan'!$AC$98</f>
        <v>0.98504664238478</v>
      </c>
      <c r="F13" s="11" t="n">
        <f aca="false">'Proyeksi 24 Bulan'!$AC$161</f>
        <v>1</v>
      </c>
      <c r="G13" s="12" t="n">
        <f aca="false">CHOOSE(Asumsi!$D$5,D13,E13,F13)</f>
        <v>0.98504664238478</v>
      </c>
      <c r="H13" s="2" t="s">
        <v>26</v>
      </c>
    </row>
    <row r="14" customFormat="false" ht="15" hidden="false" customHeight="false" outlineLevel="0" collapsed="false">
      <c r="B14" s="4" t="s">
        <v>27</v>
      </c>
      <c r="C14" s="2" t="s">
        <v>28</v>
      </c>
      <c r="D14" s="13" t="str">
        <f aca="false">'Proyeksi 24 Bulan'!$AA$39</f>
        <v>Pasokan</v>
      </c>
      <c r="E14" s="13" t="str">
        <f aca="false">'Proyeksi 24 Bulan'!$AA$102</f>
        <v>Permintaan</v>
      </c>
      <c r="F14" s="13" t="str">
        <f aca="false">'Proyeksi 24 Bulan'!$AA$165</f>
        <v>Permintaan</v>
      </c>
      <c r="G14" s="14" t="str">
        <f aca="false">CHOOSE(Asumsi!$D$5,D14,E14,F14)</f>
        <v>Permintaan</v>
      </c>
      <c r="H14" s="2" t="s">
        <v>29</v>
      </c>
    </row>
    <row r="15" customFormat="false" ht="15" hidden="false" customHeight="false" outlineLevel="0" collapsed="false">
      <c r="A15" s="7" t="s">
        <v>30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4" t="s">
        <v>31</v>
      </c>
      <c r="C16" s="2" t="s">
        <v>32</v>
      </c>
      <c r="D16" s="15" t="n">
        <f aca="false">'Proyeksi 24 Bulan'!$AB$41/1000000</f>
        <v>1420.29039257101</v>
      </c>
      <c r="E16" s="15" t="n">
        <f aca="false">'Proyeksi 24 Bulan'!$AB$104/1000000</f>
        <v>4619.58079320534</v>
      </c>
      <c r="F16" s="15" t="n">
        <f aca="false">'Proyeksi 24 Bulan'!$AB$167/1000000</f>
        <v>12588.6955796262</v>
      </c>
      <c r="G16" s="16" t="n">
        <f aca="false">CHOOSE(Asumsi!$D$5,D16,E16,F16)</f>
        <v>4619.58079320534</v>
      </c>
      <c r="H16" s="2" t="s">
        <v>33</v>
      </c>
    </row>
    <row r="17" customFormat="false" ht="15" hidden="false" customHeight="false" outlineLevel="0" collapsed="false">
      <c r="B17" s="4" t="s">
        <v>34</v>
      </c>
      <c r="C17" s="2" t="s">
        <v>32</v>
      </c>
      <c r="D17" s="15" t="n">
        <f aca="false">'Proyeksi 24 Bulan'!$AC$41/1000000</f>
        <v>3548.26474974367</v>
      </c>
      <c r="E17" s="15" t="n">
        <f aca="false">'Proyeksi 24 Bulan'!$AC$104/1000000</f>
        <v>15273.8742596908</v>
      </c>
      <c r="F17" s="15" t="n">
        <f aca="false">'Proyeksi 24 Bulan'!$AC$167/1000000</f>
        <v>42461.2168695939</v>
      </c>
      <c r="G17" s="16" t="n">
        <f aca="false">CHOOSE(Asumsi!$D$5,D17,E17,F17)</f>
        <v>15273.8742596908</v>
      </c>
      <c r="H17" s="2"/>
    </row>
    <row r="18" customFormat="false" ht="15" hidden="false" customHeight="false" outlineLevel="0" collapsed="false">
      <c r="B18" s="4" t="s">
        <v>35</v>
      </c>
      <c r="C18" s="2" t="s">
        <v>32</v>
      </c>
      <c r="D18" s="15" t="n">
        <f aca="false">'Proyeksi 24 Bulan'!$AA$41*12/1000000</f>
        <v>4678.54291427033</v>
      </c>
      <c r="E18" s="15" t="n">
        <f aca="false">'Proyeksi 24 Bulan'!$AA$104*12/1000000</f>
        <v>20655.3138678848</v>
      </c>
      <c r="F18" s="15" t="n">
        <f aca="false">'Proyeksi 24 Bulan'!$AA$167*12/1000000</f>
        <v>62474.6524274456</v>
      </c>
      <c r="G18" s="16" t="n">
        <f aca="false">CHOOSE(Asumsi!$D$5,D18,E18,F18)</f>
        <v>20655.3138678848</v>
      </c>
      <c r="H18" s="2" t="s">
        <v>36</v>
      </c>
    </row>
    <row r="19" customFormat="false" ht="15" hidden="false" customHeight="false" outlineLevel="0" collapsed="false">
      <c r="B19" s="4" t="s">
        <v>37</v>
      </c>
      <c r="C19" s="2" t="s">
        <v>25</v>
      </c>
      <c r="D19" s="17" t="n">
        <f aca="false">'Proyeksi 24 Bulan'!$AC$48</f>
        <v>0.0445547741496107</v>
      </c>
      <c r="E19" s="17" t="n">
        <f aca="false">'Proyeksi 24 Bulan'!$AC$111</f>
        <v>0.0445185103085949</v>
      </c>
      <c r="F19" s="17" t="n">
        <f aca="false">'Proyeksi 24 Bulan'!$AC$174</f>
        <v>0.0444719774790184</v>
      </c>
      <c r="G19" s="18" t="n">
        <f aca="false">CHOOSE(Asumsi!$D$5,D19,E19,F19)</f>
        <v>0.0445185103085949</v>
      </c>
      <c r="H19" s="2" t="s">
        <v>38</v>
      </c>
    </row>
    <row r="20" customFormat="false" ht="15" hidden="false" customHeight="false" outlineLevel="0" collapsed="false">
      <c r="B20" s="4" t="s">
        <v>39</v>
      </c>
      <c r="C20" s="2" t="s">
        <v>25</v>
      </c>
      <c r="D20" s="17" t="n">
        <f aca="false">'Proyeksi 24 Bulan'!$AC$49</f>
        <v>0.0419465035066362</v>
      </c>
      <c r="E20" s="17" t="n">
        <f aca="false">'Proyeksi 24 Bulan'!$AC$112</f>
        <v>0.0420865352612814</v>
      </c>
      <c r="F20" s="17" t="n">
        <f aca="false">'Proyeksi 24 Bulan'!$AC$175</f>
        <v>0.0421318508412219</v>
      </c>
      <c r="G20" s="18" t="n">
        <f aca="false">CHOOSE(Asumsi!$D$5,D20,E20,F20)</f>
        <v>0.0420865352612814</v>
      </c>
      <c r="H20" s="2" t="s">
        <v>40</v>
      </c>
    </row>
    <row r="21" customFormat="false" ht="15" hidden="false" customHeight="false" outlineLevel="0" collapsed="false">
      <c r="B21" s="4" t="s">
        <v>41</v>
      </c>
      <c r="C21" s="2" t="s">
        <v>32</v>
      </c>
      <c r="D21" s="15" t="n">
        <f aca="false">'Proyeksi 24 Bulan'!$AB$47/1000000</f>
        <v>58.0879352870096</v>
      </c>
      <c r="E21" s="15" t="n">
        <f aca="false">'Proyeksi 24 Bulan'!$AB$110/1000000</f>
        <v>191.718953416209</v>
      </c>
      <c r="F21" s="15" t="n">
        <f aca="false">'Proyeksi 24 Bulan'!$AB$173/1000000</f>
        <v>525.976324699904</v>
      </c>
      <c r="G21" s="16" t="n">
        <f aca="false">CHOOSE(Asumsi!$D$5,D21,E21,F21)</f>
        <v>191.718953416209</v>
      </c>
      <c r="H21" s="2" t="s">
        <v>42</v>
      </c>
    </row>
    <row r="22" customFormat="false" ht="15" hidden="false" customHeight="false" outlineLevel="0" collapsed="false">
      <c r="B22" s="4" t="s">
        <v>43</v>
      </c>
      <c r="C22" s="2" t="s">
        <v>32</v>
      </c>
      <c r="D22" s="15" t="n">
        <f aca="false">'Proyeksi 24 Bulan'!$AC$47/1000000</f>
        <v>148.837299767596</v>
      </c>
      <c r="E22" s="15" t="n">
        <f aca="false">'Proyeksi 24 Bulan'!$AC$110/1000000</f>
        <v>642.824447606853</v>
      </c>
      <c r="F22" s="15" t="n">
        <f aca="false">'Proyeksi 24 Bulan'!$AC$173/1000000</f>
        <v>1788.96965568651</v>
      </c>
      <c r="G22" s="16" t="n">
        <f aca="false">CHOOSE(Asumsi!$D$5,D22,E22,F22)</f>
        <v>642.824447606853</v>
      </c>
      <c r="H22" s="2"/>
    </row>
    <row r="23" customFormat="false" ht="15" hidden="false" customHeight="false" outlineLevel="0" collapsed="false">
      <c r="A23" s="7" t="s">
        <v>44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B24" s="4" t="s">
        <v>45</v>
      </c>
      <c r="C24" s="2" t="s">
        <v>46</v>
      </c>
      <c r="D24" s="9" t="n">
        <f aca="false">'Unit Economics'!$C$8</f>
        <v>1500000</v>
      </c>
      <c r="E24" s="9" t="n">
        <f aca="false">'Unit Economics'!$D$8</f>
        <v>2000000</v>
      </c>
      <c r="F24" s="9" t="n">
        <f aca="false">'Unit Economics'!$E$8</f>
        <v>2500000</v>
      </c>
      <c r="G24" s="10" t="n">
        <f aca="false">CHOOSE(Asumsi!$D$5,D24,E24,F24)</f>
        <v>2000000</v>
      </c>
      <c r="H24" s="2" t="s">
        <v>47</v>
      </c>
    </row>
    <row r="25" customFormat="false" ht="15" hidden="false" customHeight="false" outlineLevel="0" collapsed="false">
      <c r="B25" s="4" t="s">
        <v>48</v>
      </c>
      <c r="C25" s="2" t="s">
        <v>46</v>
      </c>
      <c r="D25" s="9" t="n">
        <f aca="false">'Unit Economics'!$C$18</f>
        <v>2188317.68</v>
      </c>
      <c r="E25" s="9" t="n">
        <f aca="false">'Unit Economics'!$D$18</f>
        <v>2920133.65</v>
      </c>
      <c r="F25" s="9" t="n">
        <f aca="false">'Unit Economics'!$E$18</f>
        <v>3653986.38</v>
      </c>
      <c r="G25" s="10" t="n">
        <f aca="false">CHOOSE(Asumsi!$D$5,D25,E25,F25)</f>
        <v>2920133.65</v>
      </c>
      <c r="H25" s="2" t="s">
        <v>49</v>
      </c>
    </row>
    <row r="26" customFormat="false" ht="15" hidden="false" customHeight="false" outlineLevel="0" collapsed="false">
      <c r="B26" s="4" t="s">
        <v>50</v>
      </c>
      <c r="C26" s="2" t="s">
        <v>46</v>
      </c>
      <c r="D26" s="9" t="n">
        <f aca="false">'Unit Economics'!$C$47</f>
        <v>97500</v>
      </c>
      <c r="E26" s="9" t="n">
        <f aca="false">'Unit Economics'!$D$47</f>
        <v>130000</v>
      </c>
      <c r="F26" s="9" t="n">
        <f aca="false">'Unit Economics'!$E$47</f>
        <v>162500</v>
      </c>
      <c r="G26" s="10" t="n">
        <f aca="false">CHOOSE(Asumsi!$D$5,D26,E26,F26)</f>
        <v>130000</v>
      </c>
      <c r="H26" s="2" t="s">
        <v>51</v>
      </c>
    </row>
    <row r="27" customFormat="false" ht="15" hidden="false" customHeight="false" outlineLevel="0" collapsed="false">
      <c r="B27" s="4" t="s">
        <v>52</v>
      </c>
      <c r="C27" s="2" t="s">
        <v>46</v>
      </c>
      <c r="D27" s="9" t="n">
        <f aca="false">'Unit Economics'!$C$35</f>
        <v>14637.8</v>
      </c>
      <c r="E27" s="9" t="n">
        <f aca="false">'Unit Economics'!$D$35</f>
        <v>16233.3</v>
      </c>
      <c r="F27" s="9" t="n">
        <f aca="false">'Unit Economics'!$E$35</f>
        <v>16528.14</v>
      </c>
      <c r="G27" s="10" t="n">
        <f aca="false">CHOOSE(Asumsi!$D$5,D27,E27,F27)</f>
        <v>16233.3</v>
      </c>
      <c r="H27" s="2" t="s">
        <v>53</v>
      </c>
    </row>
    <row r="28" customFormat="false" ht="15" hidden="false" customHeight="false" outlineLevel="0" collapsed="false">
      <c r="B28" s="4" t="s">
        <v>54</v>
      </c>
      <c r="C28" s="2" t="s">
        <v>46</v>
      </c>
      <c r="D28" s="9" t="n">
        <f aca="false">'Unit Economics'!$C$57</f>
        <v>19350.475237754</v>
      </c>
      <c r="E28" s="9" t="n">
        <f aca="false">'Unit Economics'!$D$57</f>
        <v>77258.0078283793</v>
      </c>
      <c r="F28" s="9" t="n">
        <f aca="false">'Unit Economics'!$E$57</f>
        <v>110884.069138017</v>
      </c>
      <c r="G28" s="10" t="n">
        <f aca="false">CHOOSE(Asumsi!$D$5,D28,E28,F28)</f>
        <v>77258.0078283793</v>
      </c>
      <c r="H28" s="2" t="s">
        <v>55</v>
      </c>
    </row>
    <row r="29" customFormat="false" ht="15" hidden="false" customHeight="false" outlineLevel="0" collapsed="false">
      <c r="B29" s="4" t="s">
        <v>56</v>
      </c>
      <c r="C29" s="2" t="s">
        <v>25</v>
      </c>
      <c r="D29" s="11" t="n">
        <f aca="false">'Unit Economics'!$C$59</f>
        <v>0.210807229558629</v>
      </c>
      <c r="E29" s="11" t="n">
        <f aca="false">'Unit Economics'!$D$59</f>
        <v>0.628633617447897</v>
      </c>
      <c r="F29" s="11" t="n">
        <f aca="false">'Unit Economics'!$E$59</f>
        <v>0.720263973805856</v>
      </c>
      <c r="G29" s="12" t="n">
        <f aca="false">CHOOSE(Asumsi!$D$5,D29,E29,F29)</f>
        <v>0.628633617447897</v>
      </c>
      <c r="H29" s="2"/>
    </row>
    <row r="30" customFormat="false" ht="15" hidden="false" customHeight="false" outlineLevel="0" collapsed="false">
      <c r="B30" s="4" t="s">
        <v>57</v>
      </c>
      <c r="C30" s="2" t="s">
        <v>17</v>
      </c>
      <c r="D30" s="9" t="n">
        <f aca="false">IF('Unit Economics'!$C$57&gt;0,ROUNDUP(('Proyeksi 24 Bulan'!$AC$71-'Proyeksi 24 Bulan'!$AC$69)/12/'Unit Economics'!$C$57,0),"CM ≤ 0")</f>
        <v>8470</v>
      </c>
      <c r="E30" s="9" t="n">
        <f aca="false">IF('Unit Economics'!$D$57&gt;0,ROUNDUP(('Proyeksi 24 Bulan'!$AC$134-'Proyeksi 24 Bulan'!$AC$132)/12/'Unit Economics'!$D$57,0),"CM ≤ 0")</f>
        <v>2122</v>
      </c>
      <c r="F30" s="9" t="n">
        <f aca="false">IF('Unit Economics'!$E$57&gt;0,ROUNDUP(('Proyeksi 24 Bulan'!$AC$197-'Proyeksi 24 Bulan'!$AC$195)/12/'Unit Economics'!$E$57,0),"CM ≤ 0")</f>
        <v>1479</v>
      </c>
      <c r="G30" s="10" t="n">
        <f aca="false">CHOOSE(Asumsi!$D$5,D30,E30,F30)</f>
        <v>2122</v>
      </c>
      <c r="H30" s="2" t="s">
        <v>58</v>
      </c>
    </row>
    <row r="31" customFormat="false" ht="15" hidden="false" customHeight="false" outlineLevel="0" collapsed="false">
      <c r="B31" s="4" t="s">
        <v>59</v>
      </c>
      <c r="C31" s="2" t="s">
        <v>17</v>
      </c>
      <c r="D31" s="9" t="n">
        <f aca="false">IF('Unit Economics'!$C$57&gt;0,ROUNDUP(('Proyeksi 24 Bulan'!$AC$71-'Proyeksi 24 Bulan'!$AC$69-'Proyeksi 24 Bulan'!$AC$63)/12/'Unit Economics'!$C$57,0),"CM ≤ 0")</f>
        <v>6661</v>
      </c>
      <c r="E31" s="9" t="n">
        <f aca="false">IF('Unit Economics'!$D$57&gt;0,ROUNDUP(('Proyeksi 24 Bulan'!$AC$134-'Proyeksi 24 Bulan'!$AC$132-'Proyeksi 24 Bulan'!$AC$126)/12/'Unit Economics'!$D$57,0),"CM ≤ 0")</f>
        <v>1669</v>
      </c>
      <c r="F31" s="9" t="n">
        <f aca="false">IF('Unit Economics'!$E$57&gt;0,ROUNDUP(('Proyeksi 24 Bulan'!$AC$197-'Proyeksi 24 Bulan'!$AC$195-'Proyeksi 24 Bulan'!$AC$189)/12/'Unit Economics'!$E$57,0),"CM ≤ 0")</f>
        <v>1163</v>
      </c>
      <c r="G31" s="10" t="n">
        <f aca="false">CHOOSE(Asumsi!$D$5,D31,E31,F31)</f>
        <v>1669</v>
      </c>
      <c r="H31" s="2" t="s">
        <v>60</v>
      </c>
    </row>
    <row r="32" customFormat="false" ht="15" hidden="false" customHeight="false" outlineLevel="0" collapsed="false">
      <c r="B32" s="4" t="s">
        <v>61</v>
      </c>
      <c r="C32" s="2" t="s">
        <v>25</v>
      </c>
      <c r="D32" s="11" t="n">
        <f aca="false">IF(ISNUMBER(D30),'Proyeksi 24 Bulan'!$AA$38/D30,0)</f>
        <v>0.0210346646176627</v>
      </c>
      <c r="E32" s="11" t="n">
        <f aca="false">IF(ISNUMBER(E30),'Proyeksi 24 Bulan'!$AA$101/E30,0)</f>
        <v>0.277780940620452</v>
      </c>
      <c r="F32" s="11" t="n">
        <f aca="false">IF(ISNUMBER(F30),'Proyeksi 24 Bulan'!$AA$164/F30,0)</f>
        <v>0.963357547810497</v>
      </c>
      <c r="G32" s="12" t="n">
        <f aca="false">CHOOSE(Asumsi!$D$5,D32,E32,F32)</f>
        <v>0.277780940620452</v>
      </c>
      <c r="H32" s="2" t="s">
        <v>62</v>
      </c>
    </row>
    <row r="33" customFormat="false" ht="23.85" hidden="false" customHeight="false" outlineLevel="0" collapsed="false">
      <c r="B33" s="4" t="s">
        <v>63</v>
      </c>
      <c r="C33" s="2" t="s">
        <v>28</v>
      </c>
      <c r="D33" s="13" t="str">
        <f aca="false">'Unit Economics'!$C$72</f>
        <v>Melewati guardrail</v>
      </c>
      <c r="E33" s="13" t="str">
        <f aca="false">'Unit Economics'!$D$72</f>
        <v>Melewati guardrail</v>
      </c>
      <c r="F33" s="13" t="str">
        <f aca="false">'Unit Economics'!$E$72</f>
        <v>Melewati guardrail</v>
      </c>
      <c r="G33" s="14" t="str">
        <f aca="false">CHOOSE(Asumsi!$D$5,D33,E33,F33)</f>
        <v>Melewati guardrail</v>
      </c>
      <c r="H33" s="2" t="s">
        <v>64</v>
      </c>
    </row>
    <row r="34" customFormat="false" ht="15" hidden="false" customHeight="false" outlineLevel="0" collapsed="false">
      <c r="A34" s="7" t="s">
        <v>65</v>
      </c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B35" s="4" t="s">
        <v>66</v>
      </c>
      <c r="C35" s="2" t="s">
        <v>32</v>
      </c>
      <c r="D35" s="15" t="n">
        <f aca="false">'Proyeksi 24 Bulan'!$AB$60/1000000</f>
        <v>-16.0833812728171</v>
      </c>
      <c r="E35" s="15" t="n">
        <f aca="false">'Proyeksi 24 Bulan'!$AB$123/1000000</f>
        <v>89.3760206417314</v>
      </c>
      <c r="F35" s="15" t="n">
        <f aca="false">'Proyeksi 24 Bulan'!$AB$186/1000000</f>
        <v>338.298742411227</v>
      </c>
      <c r="G35" s="16" t="n">
        <f aca="false">CHOOSE(Asumsi!$D$5,D35,E35,F35)</f>
        <v>89.3760206417314</v>
      </c>
      <c r="H35" s="2"/>
    </row>
    <row r="36" customFormat="false" ht="15" hidden="false" customHeight="false" outlineLevel="0" collapsed="false">
      <c r="B36" s="4" t="s">
        <v>67</v>
      </c>
      <c r="C36" s="2" t="s">
        <v>32</v>
      </c>
      <c r="D36" s="15" t="n">
        <f aca="false">'Proyeksi 24 Bulan'!$AC$60/1000000</f>
        <v>-17.3582807687477</v>
      </c>
      <c r="E36" s="15" t="n">
        <f aca="false">'Proyeksi 24 Bulan'!$AC$123/1000000</f>
        <v>336.274006497635</v>
      </c>
      <c r="F36" s="15" t="n">
        <f aca="false">'Proyeksi 24 Bulan'!$AC$186/1000000</f>
        <v>1170.2409195234</v>
      </c>
      <c r="G36" s="16" t="n">
        <f aca="false">CHOOSE(Asumsi!$D$5,D36,E36,F36)</f>
        <v>336.274006497635</v>
      </c>
      <c r="H36" s="2"/>
    </row>
    <row r="37" customFormat="false" ht="15" hidden="false" customHeight="false" outlineLevel="0" collapsed="false">
      <c r="B37" s="4" t="s">
        <v>68</v>
      </c>
      <c r="C37" s="2" t="s">
        <v>32</v>
      </c>
      <c r="D37" s="15" t="n">
        <f aca="false">'Proyeksi 24 Bulan'!$C$73/1000000</f>
        <v>-474.72607557</v>
      </c>
      <c r="E37" s="15" t="n">
        <f aca="false">'Proyeksi 24 Bulan'!$C$136/1000000</f>
        <v>-474.28624738</v>
      </c>
      <c r="F37" s="15" t="n">
        <f aca="false">'Proyeksi 24 Bulan'!$C$199/1000000</f>
        <v>-474.088533285</v>
      </c>
      <c r="G37" s="16" t="n">
        <f aca="false">CHOOSE(Asumsi!$D$5,D37,E37,F37)</f>
        <v>-474.28624738</v>
      </c>
      <c r="H37" s="2" t="s">
        <v>69</v>
      </c>
    </row>
    <row r="38" customFormat="false" ht="15" hidden="false" customHeight="false" outlineLevel="0" collapsed="false">
      <c r="B38" s="4" t="s">
        <v>70</v>
      </c>
      <c r="C38" s="2" t="s">
        <v>32</v>
      </c>
      <c r="D38" s="15" t="n">
        <f aca="false">'Proyeksi 24 Bulan'!$AB$73/1000000</f>
        <v>-1406.75229627282</v>
      </c>
      <c r="E38" s="15" t="n">
        <f aca="false">'Proyeksi 24 Bulan'!$AB$136/1000000</f>
        <v>-1301.29289435827</v>
      </c>
      <c r="F38" s="15" t="n">
        <f aca="false">'Proyeksi 24 Bulan'!$AB$199/1000000</f>
        <v>-1052.37017258877</v>
      </c>
      <c r="G38" s="16" t="n">
        <f aca="false">CHOOSE(Asumsi!$D$5,D38,E38,F38)</f>
        <v>-1301.29289435827</v>
      </c>
      <c r="H38" s="2" t="s">
        <v>71</v>
      </c>
    </row>
    <row r="39" customFormat="false" ht="15" hidden="false" customHeight="false" outlineLevel="0" collapsed="false">
      <c r="B39" s="4" t="s">
        <v>72</v>
      </c>
      <c r="C39" s="2" t="s">
        <v>32</v>
      </c>
      <c r="D39" s="15" t="n">
        <f aca="false">'Proyeksi 24 Bulan'!$AC$73/1000000</f>
        <v>-2019.02719576875</v>
      </c>
      <c r="E39" s="15" t="n">
        <f aca="false">'Proyeksi 24 Bulan'!$AC$136/1000000</f>
        <v>-1665.39490850237</v>
      </c>
      <c r="F39" s="15" t="n">
        <f aca="false">'Proyeksi 24 Bulan'!$AC$199/1000000</f>
        <v>-831.427995476596</v>
      </c>
      <c r="G39" s="16" t="n">
        <f aca="false">CHOOSE(Asumsi!$D$5,D39,E39,F39)</f>
        <v>-1665.39490850237</v>
      </c>
      <c r="H39" s="2"/>
    </row>
    <row r="40" customFormat="false" ht="15" hidden="false" customHeight="false" outlineLevel="0" collapsed="false">
      <c r="B40" s="4" t="s">
        <v>73</v>
      </c>
      <c r="C40" s="2" t="s">
        <v>32</v>
      </c>
      <c r="D40" s="15" t="n">
        <f aca="false">'Proyeksi 24 Bulan'!$AA$73/1000000</f>
        <v>-166.623146497173</v>
      </c>
      <c r="E40" s="15" t="n">
        <f aca="false">'Proyeksi 24 Bulan'!$AA$136/1000000</f>
        <v>-127.424595192433</v>
      </c>
      <c r="F40" s="15" t="n">
        <f aca="false">'Proyeksi 24 Bulan'!$AA$199/1000000</f>
        <v>-22.977486919416</v>
      </c>
      <c r="G40" s="16" t="n">
        <f aca="false">CHOOSE(Asumsi!$D$5,D40,E40,F40)</f>
        <v>-127.424595192433</v>
      </c>
      <c r="H40" s="2"/>
    </row>
    <row r="41" customFormat="false" ht="15" hidden="false" customHeight="false" outlineLevel="0" collapsed="false">
      <c r="B41" s="4" t="s">
        <v>74</v>
      </c>
      <c r="C41" s="2" t="s">
        <v>32</v>
      </c>
      <c r="D41" s="15" t="n">
        <f aca="false">MAX(0,-MIN('Proyeksi 24 Bulan'!$C$76:$AA$76))/1000000</f>
        <v>3916.85244926274</v>
      </c>
      <c r="E41" s="15" t="n">
        <f aca="false">MAX(0,-MIN('Proyeksi 24 Bulan'!$C$139:$AA$139))/1000000</f>
        <v>3513.2508343938</v>
      </c>
      <c r="F41" s="15" t="n">
        <f aca="false">MAX(0,-MIN('Proyeksi 24 Bulan'!$C$202:$AA$202))/1000000</f>
        <v>2576.67593960306</v>
      </c>
      <c r="G41" s="16" t="n">
        <f aca="false">CHOOSE(Asumsi!$D$5,D41,E41,F41)</f>
        <v>3513.2508343938</v>
      </c>
      <c r="H41" s="2" t="s">
        <v>75</v>
      </c>
    </row>
    <row r="42" customFormat="false" ht="15" hidden="false" customHeight="false" outlineLevel="0" collapsed="false">
      <c r="B42" s="4" t="s">
        <v>76</v>
      </c>
      <c r="C42" s="2" t="s">
        <v>77</v>
      </c>
      <c r="D42" s="19" t="n">
        <f aca="false">INDEX('Proyeksi 24 Bulan'!$C$5:$AA$5,MATCH(MIN('Proyeksi 24 Bulan'!$C$76:$AA$76),'Proyeksi 24 Bulan'!$C$76:$AA$76,0))</f>
        <v>24</v>
      </c>
      <c r="E42" s="19" t="n">
        <f aca="false">INDEX('Proyeksi 24 Bulan'!$C$5:$AA$5,MATCH(MIN('Proyeksi 24 Bulan'!$C$139:$AA$139),'Proyeksi 24 Bulan'!$C$139:$AA$139,0))</f>
        <v>24</v>
      </c>
      <c r="F42" s="19" t="n">
        <f aca="false">INDEX('Proyeksi 24 Bulan'!$C$5:$AA$5,MATCH(MIN('Proyeksi 24 Bulan'!$C$202:$AA$202),'Proyeksi 24 Bulan'!$C$202:$AA$202,0))</f>
        <v>24</v>
      </c>
      <c r="G42" s="20" t="n">
        <f aca="false">CHOOSE(Asumsi!$D$5,D42,E42,F42)</f>
        <v>24</v>
      </c>
      <c r="H42" s="2" t="s">
        <v>78</v>
      </c>
    </row>
    <row r="43" customFormat="false" ht="15" hidden="false" customHeight="false" outlineLevel="0" collapsed="false">
      <c r="B43" s="4" t="s">
        <v>79</v>
      </c>
      <c r="C43" s="2" t="s">
        <v>77</v>
      </c>
      <c r="D43" s="19" t="str">
        <f aca="false">IF(MIN('Proyeksi 24 Bulan'!$D$77:$AA$77)&gt;24,"Belum ≤ B24",MIN('Proyeksi 24 Bulan'!$D$77:$AA$77))</f>
        <v>Belum ≤ B24</v>
      </c>
      <c r="E43" s="19" t="str">
        <f aca="false">IF(MIN('Proyeksi 24 Bulan'!$D$140:$AA$140)&gt;24,"Belum ≤ B24",MIN('Proyeksi 24 Bulan'!$D$140:$AA$140))</f>
        <v>Belum ≤ B24</v>
      </c>
      <c r="F43" s="19" t="str">
        <f aca="false">IF(MIN('Proyeksi 24 Bulan'!$D$203:$AA$203)&gt;24,"Belum ≤ B24",MIN('Proyeksi 24 Bulan'!$D$203:$AA$203))</f>
        <v>Belum ≤ B24</v>
      </c>
      <c r="G43" s="20" t="str">
        <f aca="false">CHOOSE(Asumsi!$D$5,D43,E43,F43)</f>
        <v>Belum ≤ B24</v>
      </c>
      <c r="H43" s="2"/>
    </row>
    <row r="44" customFormat="false" ht="15" hidden="false" customHeight="false" outlineLevel="0" collapsed="false">
      <c r="B44" s="4" t="s">
        <v>80</v>
      </c>
      <c r="C44" s="2" t="s">
        <v>81</v>
      </c>
      <c r="D44" s="21" t="str">
        <f aca="false">IF(MIN('Proyeksi 24 Bulan'!$D$77:$AA$77)&gt;24,"-",EDATE(Asumsi!$D$10,MIN('Proyeksi 24 Bulan'!$D$77:$AA$77)-1))</f>
        <v>-</v>
      </c>
      <c r="E44" s="21" t="str">
        <f aca="false">IF(MIN('Proyeksi 24 Bulan'!$D$140:$AA$140)&gt;24,"-",EDATE(Asumsi!$E$10,MIN('Proyeksi 24 Bulan'!$D$140:$AA$140)-1))</f>
        <v>-</v>
      </c>
      <c r="F44" s="21" t="str">
        <f aca="false">IF(MIN('Proyeksi 24 Bulan'!$D$203:$AA$203)&gt;24,"-",EDATE(Asumsi!$F$10,MIN('Proyeksi 24 Bulan'!$D$203:$AA$203)-1))</f>
        <v>-</v>
      </c>
      <c r="G44" s="22" t="str">
        <f aca="false">CHOOSE(Asumsi!$D$5,D44,E44,F44)</f>
        <v>-</v>
      </c>
      <c r="H44" s="2"/>
    </row>
    <row r="45" customFormat="false" ht="15" hidden="false" customHeight="false" outlineLevel="0" collapsed="false">
      <c r="B45" s="4" t="s">
        <v>82</v>
      </c>
      <c r="C45" s="2" t="s">
        <v>32</v>
      </c>
      <c r="D45" s="15" t="n">
        <f aca="false">'Proyeksi 24 Bulan'!$AA$76/1000000</f>
        <v>-3916.85244926274</v>
      </c>
      <c r="E45" s="15" t="n">
        <f aca="false">'Proyeksi 24 Bulan'!$AA$139/1000000</f>
        <v>-3513.2508343938</v>
      </c>
      <c r="F45" s="15" t="n">
        <f aca="false">'Proyeksi 24 Bulan'!$AA$202/1000000</f>
        <v>-2576.67593960306</v>
      </c>
      <c r="G45" s="16" t="n">
        <f aca="false">CHOOSE(Asumsi!$D$5,D45,E45,F45)</f>
        <v>-3513.2508343938</v>
      </c>
      <c r="H45" s="2" t="s">
        <v>83</v>
      </c>
    </row>
    <row r="47" customFormat="false" ht="15" hidden="false" customHeight="false" outlineLevel="0" collapsed="false">
      <c r="A47" s="7" t="s">
        <v>84</v>
      </c>
      <c r="B47" s="8"/>
      <c r="C47" s="8"/>
      <c r="D47" s="8"/>
      <c r="E47" s="8"/>
      <c r="F47" s="8"/>
      <c r="G47" s="8"/>
      <c r="H47" s="8"/>
    </row>
    <row r="48" customFormat="false" ht="30" hidden="false" customHeight="true" outlineLevel="0" collapsed="false">
      <c r="B48" s="23" t="str">
        <f aca="false">"1. Kebutuhan dana puncak (sebelum buffer): Konservatif Rp"&amp;FIXED(D41,0)&amp;" jt ("&amp;IF(D42=24,"masih turun di B24","titik terendah bulan "&amp;D42)&amp;") · Dasar Rp"&amp;FIXED(E41,0)&amp;" jt ("&amp;IF(E42=24,"masih turun di B24","titik terendah bulan "&amp;E42)&amp;") · Optimis Rp"&amp;FIXED(F41,0)&amp;" jt ("&amp;IF(F42=24,"masih turun di B24","titik terendah bulan "&amp;F42)&amp;")."</f>
        <v>1. Kebutuhan dana puncak (sebelum buffer): Konservatif Rp3,917 jt (masih turun di B24) · Dasar Rp3,513 jt (masih turun di B24) · Optimis Rp2,577 jt (masih turun di B24).</v>
      </c>
      <c r="C48" s="23"/>
      <c r="D48" s="23"/>
      <c r="E48" s="23"/>
      <c r="F48" s="23"/>
      <c r="G48" s="23"/>
      <c r="H48" s="23"/>
    </row>
    <row r="49" customFormat="false" ht="30" hidden="false" customHeight="true" outlineLevel="0" collapsed="false">
      <c r="B49" s="23" t="str">
        <f aca="false">"2. EBITDA bulanan ≥ 0 pertama kali: Konservatif "&amp;D43&amp;" · Dasar "&amp;E43&amp;" · Optimis "&amp;F43&amp;". EBITDA Bulan 24: Konservatif "&amp;IF(D40&lt;0,"−Rp"&amp;FIXED(-D40,0),"Rp"&amp;FIXED(D40,0))&amp;" jt · Dasar "&amp;IF(E40&lt;0,"−Rp"&amp;FIXED(-E40,0),"Rp"&amp;FIXED(E40,0))&amp;" jt · Optimis "&amp;IF(F40&lt;0,"−Rp"&amp;FIXED(-F40,0),"Rp"&amp;FIXED(F40,0))&amp;" jt."</f>
        <v>2. EBITDA bulanan ≥ 0 pertama kali: Konservatif Belum ≤ B24 · Dasar Belum ≤ B24 · Optimis Belum ≤ B24. EBITDA Bulan 24: Konservatif −Rp167 jt · Dasar −Rp127 jt · Optimis −Rp23 jt.</v>
      </c>
      <c r="C49" s="23"/>
      <c r="D49" s="23"/>
      <c r="E49" s="23"/>
      <c r="F49" s="23"/>
      <c r="G49" s="23"/>
      <c r="H49" s="23"/>
    </row>
    <row r="50" customFormat="false" ht="30" hidden="false" customHeight="true" outlineLevel="0" collapsed="false">
      <c r="B50" s="23" t="str">
        <f aca="false">"3. Margin kontribusi per transaksi (Dasar) Rp"&amp;FIXED(E28,0)&amp;" → perlu ±"&amp;FIXED(E30,0)&amp;" transaksi selesai/bulan untuk menutup biaya tetap + marketing Th2; volume Bulan 24 = "&amp;FIXED(E10,0)&amp;" transaksi ("&amp;TEXT(E32,"0%")&amp;" dari BEP)."</f>
        <v>3. Margin kontribusi per transaksi (Dasar) Rp77,258 → perlu ±2,122 transaksi selesai/bulan untuk menutup biaya tetap + marketing Th2; volume Bulan 24 = 589 transaksi (28% dari BEP).</v>
      </c>
      <c r="C50" s="23"/>
      <c r="D50" s="23"/>
      <c r="E50" s="23"/>
      <c r="F50" s="23"/>
      <c r="G50" s="23"/>
      <c r="H50" s="23"/>
    </row>
    <row r="51" customFormat="false" ht="30" hidden="false" customHeight="true" outlineLevel="0" collapsed="false">
      <c r="B51" s="23" t="str">
        <f aca="false">"4. Subsidi kanal bayar rata-rata Rp"&amp;FIXED(E27,0)&amp;"/transaksi (Dasar) = "&amp;TEXT(E27/E26,"0%")&amp;" pendapatan bruto. VA: dibebankan Rp"&amp;FIXED('Unit Economics'!$D$21,0)&amp;" vs biaya Xendit Rp"&amp;FIXED('Unit Economics'!$D$22,0)&amp;" (launch-checklist B4). E-wallet: dibebankan Rp"&amp;FIXED('Unit Economics'!$D$27,0)&amp;" vs biaya Rp"&amp;FIXED('Unit Economics'!$D$28,0)&amp;" per transaksi — config 1,5% di bawah tarif publik (≥2% + Rp4.000 + PPN). Lihat Sensitivitas tabel 2c."</f>
        <v>4. Subsidi kanal bayar rata-rata Rp16,233/transaksi (Dasar) = 12% pendapatan bruto. VA: dibebankan Rp4,500 vs biaya Xendit Rp14,430 (launch-checklist B4). E-wallet: dibebankan Rp44,122 vs biaya Rp102,389 per transaksi — config 1,5% di bawah tarif publik (≥2% + Rp4.000 + PPN). Lihat Sensitivitas tabel 2c.</v>
      </c>
      <c r="C51" s="23"/>
      <c r="D51" s="23"/>
      <c r="E51" s="23"/>
      <c r="F51" s="23"/>
      <c r="G51" s="23"/>
      <c r="H51" s="23"/>
    </row>
    <row r="52" customFormat="false" ht="30" hidden="false" customHeight="true" outlineLevel="0" collapsed="false">
      <c r="B52" s="23" t="str">
        <f aca="false">"5. Sisi pembatas Bulan 24 — Konservatif: "&amp;D14&amp;", Dasar: "&amp;E14&amp;", Optimis: "&amp;F14&amp;". Fill rate Th2: Konservatif "&amp;TEXT(D13,"0%")&amp;", Dasar "&amp;TEXT(E13,"0%")&amp;". Akuisisi pembeli tanpa pasokan traveler hanya membakar CAC."</f>
        <v>5. Sisi pembatas Bulan 24 — Konservatif: Pasokan, Dasar: Permintaan, Optimis: Permintaan. Fill rate Th2: Konservatif 72%, Dasar 99%. Akuisisi pembeli tanpa pasokan traveler hanya membakar CAC.</v>
      </c>
      <c r="C52" s="23"/>
      <c r="D52" s="23"/>
      <c r="E52" s="23"/>
      <c r="F52" s="23"/>
      <c r="G52" s="23"/>
      <c r="H52" s="23"/>
    </row>
    <row r="53" customFormat="false" ht="30" hidden="false" customHeight="true" outlineLevel="0" collapsed="false">
      <c r="B53" s="23" t="str">
        <f aca="false">"6. CAC blended + OTP (Dasar) Rp"&amp;FIXED('Unit Economics'!$D$70,0)&amp;" vs LTV 12 bulan Rp"&amp;FIXED('Unit Economics'!$D$68,0)&amp;" (rasio "&amp;FIXED('Unit Economics'!$D$71,2)&amp;"; guardrail config ≤ 0,33). Akuisisi berbayar belum balik modal dalam 12 bulan; biaya efektif referral ±Rp"&amp;FIXED((Asumsi!$E$91+Asumsi!$E$92)*Asumsi!$E$97,0)&amp;" per referral berkualifikasi jauh lebih murah."</f>
        <v>6. CAC blended + OTP (Dasar) Rp265,817 vs LTV 12 bulan Rp130,598 (rasio 2.04; guardrail config ≤ 0,33). Akuisisi berbayar belum balik modal dalam 12 bulan; biaya efektif referral ±Rp35,000 per referral berkualifikasi jauh lebih murah.</v>
      </c>
      <c r="C53" s="23"/>
      <c r="D53" s="23"/>
      <c r="E53" s="23"/>
      <c r="F53" s="23"/>
      <c r="G53" s="23"/>
      <c r="H53" s="23"/>
    </row>
    <row r="54" customFormat="false" ht="30" hidden="false" customHeight="true" outlineLevel="0" collapsed="false">
      <c r="B54" s="23" t="str">
        <f aca="false">"7. Yang rusak duluan: (a) bila biaya payout Xendit ternyata 1% + Rp4.000 (asumsi Konservatif), biaya payout per transaksi = Rp"&amp;FIXED(-'Unit Economics'!$C$52,0)&amp;" vs Rp"&amp;FIXED(-'Unit Economics'!$D$52,0)&amp;" (Dasar) — margin kontribusi Konservatif tinggal Rp"&amp;FIXED(D28,0)&amp;"; (b) likuiditas traveler di luar musim liburan; (c) setiap bulan tunda soft launch (PT/PSE/Xendit/merek) menambah ±Rp"&amp;FIXED(('Proyeksi 24 Bulan'!$AB$134-'Proyeksi 24 Bulan'!$AB$126-'Proyeksi 24 Bulan'!$AB$131)/12/1000000,0)&amp;" jt biaya tetap ke kebutuhan dana."</f>
        <v>7. Yang rusak duluan: (a) bila biaya payout Xendit ternyata 1% + Rp4.000 (asumsi Konservatif), biaya payout per transaksi = Rp27,362 vs Rp4,995 (Dasar) — margin kontribusi Konservatif tinggal Rp19,350; (b) likuiditas traveler di luar musim liburan; (c) setiap bulan tunda soft launch (PT/PSE/Xendit/merek) menambah ±Rp96 jt biaya tetap ke kebutuhan dana.</v>
      </c>
      <c r="C54" s="23"/>
      <c r="D54" s="23"/>
      <c r="E54" s="23"/>
      <c r="F54" s="23"/>
      <c r="G54" s="23"/>
      <c r="H54" s="23"/>
    </row>
    <row r="55" customFormat="false" ht="30" hidden="false" customHeight="true" outlineLevel="0" collapsed="false">
      <c r="B55" s="24" t="s">
        <v>85</v>
      </c>
      <c r="C55" s="24"/>
      <c r="D55" s="24"/>
      <c r="E55" s="24"/>
      <c r="F55" s="24"/>
      <c r="G55" s="24"/>
      <c r="H55" s="24"/>
    </row>
    <row r="56" customFormat="false" ht="30" hidden="false" customHeight="true" outlineLevel="0" collapsed="false">
      <c r="B56" s="24" t="s">
        <v>86</v>
      </c>
      <c r="C56" s="24"/>
      <c r="D56" s="24"/>
      <c r="E56" s="24"/>
      <c r="F56" s="24"/>
      <c r="G56" s="24"/>
      <c r="H56" s="24"/>
    </row>
    <row r="58" customFormat="false" ht="15" hidden="false" customHeight="false" outlineLevel="0" collapsed="false">
      <c r="A58" s="7" t="s">
        <v>87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B59" s="25" t="s">
        <v>88</v>
      </c>
      <c r="C59" s="19" t="n">
        <f aca="false">'Proyeksi 24 Bulan'!C$5</f>
        <v>0</v>
      </c>
      <c r="D59" s="19" t="n">
        <f aca="false">'Proyeksi 24 Bulan'!D$5</f>
        <v>1</v>
      </c>
      <c r="E59" s="19" t="n">
        <f aca="false">'Proyeksi 24 Bulan'!E$5</f>
        <v>2</v>
      </c>
      <c r="F59" s="19" t="n">
        <f aca="false">'Proyeksi 24 Bulan'!F$5</f>
        <v>3</v>
      </c>
      <c r="G59" s="19" t="n">
        <f aca="false">'Proyeksi 24 Bulan'!G$5</f>
        <v>4</v>
      </c>
      <c r="H59" s="19" t="n">
        <f aca="false">'Proyeksi 24 Bulan'!H$5</f>
        <v>5</v>
      </c>
      <c r="I59" s="19" t="n">
        <f aca="false">'Proyeksi 24 Bulan'!I$5</f>
        <v>6</v>
      </c>
      <c r="J59" s="19" t="n">
        <f aca="false">'Proyeksi 24 Bulan'!J$5</f>
        <v>7</v>
      </c>
      <c r="K59" s="19" t="n">
        <f aca="false">'Proyeksi 24 Bulan'!K$5</f>
        <v>8</v>
      </c>
      <c r="L59" s="19" t="n">
        <f aca="false">'Proyeksi 24 Bulan'!L$5</f>
        <v>9</v>
      </c>
      <c r="M59" s="19" t="n">
        <f aca="false">'Proyeksi 24 Bulan'!M$5</f>
        <v>10</v>
      </c>
      <c r="N59" s="19" t="n">
        <f aca="false">'Proyeksi 24 Bulan'!N$5</f>
        <v>11</v>
      </c>
      <c r="O59" s="19" t="n">
        <f aca="false">'Proyeksi 24 Bulan'!O$5</f>
        <v>12</v>
      </c>
      <c r="P59" s="19" t="n">
        <f aca="false">'Proyeksi 24 Bulan'!P$5</f>
        <v>13</v>
      </c>
      <c r="Q59" s="19" t="n">
        <f aca="false">'Proyeksi 24 Bulan'!Q$5</f>
        <v>14</v>
      </c>
      <c r="R59" s="19" t="n">
        <f aca="false">'Proyeksi 24 Bulan'!R$5</f>
        <v>15</v>
      </c>
      <c r="S59" s="19" t="n">
        <f aca="false">'Proyeksi 24 Bulan'!S$5</f>
        <v>16</v>
      </c>
      <c r="T59" s="19" t="n">
        <f aca="false">'Proyeksi 24 Bulan'!T$5</f>
        <v>17</v>
      </c>
      <c r="U59" s="19" t="n">
        <f aca="false">'Proyeksi 24 Bulan'!U$5</f>
        <v>18</v>
      </c>
      <c r="V59" s="19" t="n">
        <f aca="false">'Proyeksi 24 Bulan'!V$5</f>
        <v>19</v>
      </c>
      <c r="W59" s="19" t="n">
        <f aca="false">'Proyeksi 24 Bulan'!W$5</f>
        <v>20</v>
      </c>
      <c r="X59" s="19" t="n">
        <f aca="false">'Proyeksi 24 Bulan'!X$5</f>
        <v>21</v>
      </c>
      <c r="Y59" s="19" t="n">
        <f aca="false">'Proyeksi 24 Bulan'!Y$5</f>
        <v>22</v>
      </c>
      <c r="Z59" s="19" t="n">
        <f aca="false">'Proyeksi 24 Bulan'!Z$5</f>
        <v>23</v>
      </c>
      <c r="AA59" s="19" t="n">
        <f aca="false">'Proyeksi 24 Bulan'!AA$5</f>
        <v>24</v>
      </c>
    </row>
    <row r="60" customFormat="false" ht="15" hidden="false" customHeight="false" outlineLevel="0" collapsed="false">
      <c r="B60" s="4" t="s">
        <v>5</v>
      </c>
      <c r="C60" s="15" t="n">
        <f aca="false">'Proyeksi 24 Bulan'!C76/1000000</f>
        <v>-474.72607557</v>
      </c>
      <c r="D60" s="15" t="n">
        <f aca="false">'Proyeksi 24 Bulan'!D76/1000000</f>
        <v>-577.918517586266</v>
      </c>
      <c r="E60" s="15" t="n">
        <f aca="false">'Proyeksi 24 Bulan'!E76/1000000</f>
        <v>-679.913145042566</v>
      </c>
      <c r="F60" s="15" t="n">
        <f aca="false">'Proyeksi 24 Bulan'!F76/1000000</f>
        <v>-781.864723429589</v>
      </c>
      <c r="G60" s="15" t="n">
        <f aca="false">'Proyeksi 24 Bulan'!G76/1000000</f>
        <v>-905.134058938618</v>
      </c>
      <c r="H60" s="15" t="n">
        <f aca="false">'Proyeksi 24 Bulan'!H76/1000000</f>
        <v>-1028.37107367346</v>
      </c>
      <c r="I60" s="15" t="n">
        <f aca="false">'Proyeksi 24 Bulan'!I76/1000000</f>
        <v>-1151.58109710269</v>
      </c>
      <c r="J60" s="15" t="n">
        <f aca="false">'Proyeksi 24 Bulan'!J76/1000000</f>
        <v>-1274.76807058376</v>
      </c>
      <c r="K60" s="15" t="n">
        <f aca="false">'Proyeksi 24 Bulan'!K76/1000000</f>
        <v>-1397.50817664532</v>
      </c>
      <c r="L60" s="15" t="n">
        <f aca="false">'Proyeksi 24 Bulan'!L76/1000000</f>
        <v>-1520.18534778299</v>
      </c>
      <c r="M60" s="15" t="n">
        <f aca="false">'Proyeksi 24 Bulan'!M76/1000000</f>
        <v>-1642.80220435989</v>
      </c>
      <c r="N60" s="15" t="n">
        <f aca="false">'Proyeksi 24 Bulan'!N76/1000000</f>
        <v>-1765.36106282857</v>
      </c>
      <c r="O60" s="15" t="n">
        <f aca="false">'Proyeksi 24 Bulan'!O76/1000000</f>
        <v>-1889.63775918406</v>
      </c>
      <c r="P60" s="15" t="n">
        <f aca="false">'Proyeksi 24 Bulan'!P76/1000000</f>
        <v>-2090.76442934676</v>
      </c>
      <c r="Q60" s="15" t="n">
        <f aca="false">'Proyeksi 24 Bulan'!Q76/1000000</f>
        <v>-2256.83977369824</v>
      </c>
      <c r="R60" s="15" t="n">
        <f aca="false">'Proyeksi 24 Bulan'!R76/1000000</f>
        <v>-2422.86632445817</v>
      </c>
      <c r="S60" s="15" t="n">
        <f aca="false">'Proyeksi 24 Bulan'!S76/1000000</f>
        <v>-2588.8453090823</v>
      </c>
      <c r="T60" s="15" t="n">
        <f aca="false">'Proyeksi 24 Bulan'!T76/1000000</f>
        <v>-2754.7778328877</v>
      </c>
      <c r="U60" s="15" t="n">
        <f aca="false">'Proyeksi 24 Bulan'!U76/1000000</f>
        <v>-2920.66489576039</v>
      </c>
      <c r="V60" s="15" t="n">
        <f aca="false">'Proyeksi 24 Bulan'!V76/1000000</f>
        <v>-3086.50740681288</v>
      </c>
      <c r="W60" s="15" t="n">
        <f aca="false">'Proyeksi 24 Bulan'!W76/1000000</f>
        <v>-3252.30619731494</v>
      </c>
      <c r="X60" s="15" t="n">
        <f aca="false">'Proyeksi 24 Bulan'!X76/1000000</f>
        <v>-3418.06203218182</v>
      </c>
      <c r="Y60" s="15" t="n">
        <f aca="false">'Proyeksi 24 Bulan'!Y76/1000000</f>
        <v>-3583.77562026683</v>
      </c>
      <c r="Z60" s="15" t="n">
        <f aca="false">'Proyeksi 24 Bulan'!Z76/1000000</f>
        <v>-3749.44762367225</v>
      </c>
      <c r="AA60" s="15" t="n">
        <f aca="false">'Proyeksi 24 Bulan'!AA76/1000000</f>
        <v>-3916.85244926274</v>
      </c>
    </row>
    <row r="61" customFormat="false" ht="15" hidden="false" customHeight="false" outlineLevel="0" collapsed="false">
      <c r="B61" s="4" t="s">
        <v>6</v>
      </c>
      <c r="C61" s="15" t="n">
        <f aca="false">'Proyeksi 24 Bulan'!C139/1000000</f>
        <v>-474.28624738</v>
      </c>
      <c r="D61" s="15" t="n">
        <f aca="false">'Proyeksi 24 Bulan'!D139/1000000</f>
        <v>-577.61846110709</v>
      </c>
      <c r="E61" s="15" t="n">
        <f aca="false">'Proyeksi 24 Bulan'!E139/1000000</f>
        <v>-677.764575549444</v>
      </c>
      <c r="F61" s="15" t="n">
        <f aca="false">'Proyeksi 24 Bulan'!F139/1000000</f>
        <v>-776.969647034081</v>
      </c>
      <c r="G61" s="15" t="n">
        <f aca="false">'Proyeksi 24 Bulan'!G139/1000000</f>
        <v>-896.466255231494</v>
      </c>
      <c r="H61" s="15" t="n">
        <f aca="false">'Proyeksi 24 Bulan'!H139/1000000</f>
        <v>-1014.95312134711</v>
      </c>
      <c r="I61" s="15" t="n">
        <f aca="false">'Proyeksi 24 Bulan'!I139/1000000</f>
        <v>-1132.39085335487</v>
      </c>
      <c r="J61" s="15" t="n">
        <f aca="false">'Proyeksi 24 Bulan'!J139/1000000</f>
        <v>-1248.72970365066</v>
      </c>
      <c r="K61" s="15" t="n">
        <f aca="false">'Proyeksi 24 Bulan'!K139/1000000</f>
        <v>-1362.83341410748</v>
      </c>
      <c r="L61" s="15" t="n">
        <f aca="false">'Proyeksi 24 Bulan'!L139/1000000</f>
        <v>-1475.55673688248</v>
      </c>
      <c r="M61" s="15" t="n">
        <f aca="false">'Proyeksi 24 Bulan'!M139/1000000</f>
        <v>-1586.81941480258</v>
      </c>
      <c r="N61" s="15" t="n">
        <f aca="false">'Proyeksi 24 Bulan'!N139/1000000</f>
        <v>-1696.53282254918</v>
      </c>
      <c r="O61" s="15" t="n">
        <f aca="false">'Proyeksi 24 Bulan'!O139/1000000</f>
        <v>-1806.3732932051</v>
      </c>
      <c r="P61" s="15" t="n">
        <f aca="false">'Proyeksi 24 Bulan'!P139/1000000</f>
        <v>-1991.3191483209</v>
      </c>
      <c r="Q61" s="15" t="n">
        <f aca="false">'Proyeksi 24 Bulan'!Q139/1000000</f>
        <v>-2139.3988042203</v>
      </c>
      <c r="R61" s="15" t="n">
        <f aca="false">'Proyeksi 24 Bulan'!R139/1000000</f>
        <v>-2285.49149855384</v>
      </c>
      <c r="S61" s="15" t="n">
        <f aca="false">'Proyeksi 24 Bulan'!S139/1000000</f>
        <v>-2429.45815567494</v>
      </c>
      <c r="T61" s="15" t="n">
        <f aca="false">'Proyeksi 24 Bulan'!T139/1000000</f>
        <v>-2570.75606579647</v>
      </c>
      <c r="U61" s="15" t="n">
        <f aca="false">'Proyeksi 24 Bulan'!U139/1000000</f>
        <v>-2710.03652228806</v>
      </c>
      <c r="V61" s="15" t="n">
        <f aca="false">'Proyeksi 24 Bulan'!V139/1000000</f>
        <v>-2847.73583327226</v>
      </c>
      <c r="W61" s="15" t="n">
        <f aca="false">'Proyeksi 24 Bulan'!W139/1000000</f>
        <v>-2983.83222243786</v>
      </c>
      <c r="X61" s="15" t="n">
        <f aca="false">'Proyeksi 24 Bulan'!X139/1000000</f>
        <v>-3118.29620259497</v>
      </c>
      <c r="Y61" s="15" t="n">
        <f aca="false">'Proyeksi 24 Bulan'!Y139/1000000</f>
        <v>-3251.09029902482</v>
      </c>
      <c r="Z61" s="15" t="n">
        <f aca="false">'Proyeksi 24 Bulan'!Z139/1000000</f>
        <v>-3382.16873130506</v>
      </c>
      <c r="AA61" s="15" t="n">
        <f aca="false">'Proyeksi 24 Bulan'!AA139/1000000</f>
        <v>-3513.2508343938</v>
      </c>
    </row>
    <row r="62" customFormat="false" ht="15" hidden="false" customHeight="false" outlineLevel="0" collapsed="false">
      <c r="B62" s="4" t="s">
        <v>7</v>
      </c>
      <c r="C62" s="15" t="n">
        <f aca="false">'Proyeksi 24 Bulan'!C202/1000000</f>
        <v>-474.088533285</v>
      </c>
      <c r="D62" s="15" t="n">
        <f aca="false">'Proyeksi 24 Bulan'!D202/1000000</f>
        <v>-578.965177580019</v>
      </c>
      <c r="E62" s="15" t="n">
        <f aca="false">'Proyeksi 24 Bulan'!E202/1000000</f>
        <v>-674.655683866101</v>
      </c>
      <c r="F62" s="15" t="n">
        <f aca="false">'Proyeksi 24 Bulan'!F202/1000000</f>
        <v>-768.647113748501</v>
      </c>
      <c r="G62" s="15" t="n">
        <f aca="false">'Proyeksi 24 Bulan'!G202/1000000</f>
        <v>-886.513284674375</v>
      </c>
      <c r="H62" s="15" t="n">
        <f aca="false">'Proyeksi 24 Bulan'!H202/1000000</f>
        <v>-991.123291804538</v>
      </c>
      <c r="I62" s="15" t="n">
        <f aca="false">'Proyeksi 24 Bulan'!I202/1000000</f>
        <v>-1090.41009925988</v>
      </c>
      <c r="J62" s="15" t="n">
        <f aca="false">'Proyeksi 24 Bulan'!J202/1000000</f>
        <v>-1186.68032217021</v>
      </c>
      <c r="K62" s="15" t="n">
        <f aca="false">'Proyeksi 24 Bulan'!K202/1000000</f>
        <v>-1277.09055330757</v>
      </c>
      <c r="L62" s="15" t="n">
        <f aca="false">'Proyeksi 24 Bulan'!L202/1000000</f>
        <v>-1364.0324762584</v>
      </c>
      <c r="M62" s="15" t="n">
        <f aca="false">'Proyeksi 24 Bulan'!M202/1000000</f>
        <v>-1447.3980502373</v>
      </c>
      <c r="N62" s="15" t="n">
        <f aca="false">'Proyeksi 24 Bulan'!N202/1000000</f>
        <v>-1527.06013740121</v>
      </c>
      <c r="O62" s="15" t="n">
        <f aca="false">'Proyeksi 24 Bulan'!O202/1000000</f>
        <v>-1604.64440445978</v>
      </c>
      <c r="P62" s="15" t="n">
        <f aca="false">'Proyeksi 24 Bulan'!P202/1000000</f>
        <v>-1757.38794036596</v>
      </c>
      <c r="Q62" s="15" t="n">
        <f aca="false">'Proyeksi 24 Bulan'!Q202/1000000</f>
        <v>-1862.80176571054</v>
      </c>
      <c r="R62" s="15" t="n">
        <f aca="false">'Proyeksi 24 Bulan'!R202/1000000</f>
        <v>-1962.93591899636</v>
      </c>
      <c r="S62" s="15" t="n">
        <f aca="false">'Proyeksi 24 Bulan'!S202/1000000</f>
        <v>-2057.55764903085</v>
      </c>
      <c r="T62" s="15" t="n">
        <f aca="false">'Proyeksi 24 Bulan'!T202/1000000</f>
        <v>-2146.39956274797</v>
      </c>
      <c r="U62" s="15" t="n">
        <f aca="false">'Proyeksi 24 Bulan'!U202/1000000</f>
        <v>-2229.15610659394</v>
      </c>
      <c r="V62" s="15" t="n">
        <f aca="false">'Proyeksi 24 Bulan'!V202/1000000</f>
        <v>-2305.47965859576</v>
      </c>
      <c r="W62" s="15" t="n">
        <f aca="false">'Proyeksi 24 Bulan'!W202/1000000</f>
        <v>-2374.97618902654</v>
      </c>
      <c r="X62" s="15" t="n">
        <f aca="false">'Proyeksi 24 Bulan'!X202/1000000</f>
        <v>-2437.20044301296</v>
      </c>
      <c r="Y62" s="15" t="n">
        <f aca="false">'Proyeksi 24 Bulan'!Y202/1000000</f>
        <v>-2491.65059336804</v>
      </c>
      <c r="Z62" s="15" t="n">
        <f aca="false">'Proyeksi 24 Bulan'!Z202/1000000</f>
        <v>-2537.76230632157</v>
      </c>
      <c r="AA62" s="15" t="n">
        <f aca="false">'Proyeksi 24 Bulan'!AA202/1000000</f>
        <v>-2576.67593960306</v>
      </c>
    </row>
    <row r="82" customFormat="false" ht="42" hidden="false" customHeight="true" outlineLevel="0" collapsed="false">
      <c r="B82" s="26" t="s">
        <v>89</v>
      </c>
      <c r="C82" s="26"/>
      <c r="D82" s="26"/>
      <c r="E82" s="26"/>
      <c r="F82" s="26"/>
      <c r="G82" s="26"/>
      <c r="H82" s="26"/>
    </row>
  </sheetData>
  <mergeCells count="10">
    <mergeCell ref="B48:H48"/>
    <mergeCell ref="B49:H49"/>
    <mergeCell ref="B50:H50"/>
    <mergeCell ref="B51:H51"/>
    <mergeCell ref="B52:H52"/>
    <mergeCell ref="B53:H53"/>
    <mergeCell ref="B54:H54"/>
    <mergeCell ref="B55:H55"/>
    <mergeCell ref="B56:H56"/>
    <mergeCell ref="B82:H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7" min="3" style="0" width="14"/>
    <col collapsed="false" customWidth="true" hidden="false" outlineLevel="0" max="8" min="8" style="0" width="10"/>
    <col collapsed="false" customWidth="true" hidden="false" outlineLevel="0" max="9" min="9" style="0" width="9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B4" s="25" t="s">
        <v>92</v>
      </c>
      <c r="D4" s="27" t="s">
        <v>6</v>
      </c>
      <c r="F4" s="25" t="s">
        <v>93</v>
      </c>
      <c r="G4" s="28" t="s">
        <v>94</v>
      </c>
      <c r="H4" s="4" t="s">
        <v>95</v>
      </c>
    </row>
    <row r="5" customFormat="false" ht="15" hidden="false" customHeight="false" outlineLevel="0" collapsed="false">
      <c r="B5" s="4" t="s">
        <v>96</v>
      </c>
      <c r="D5" s="29" t="n">
        <f aca="false">MATCH(D4,$D$8:$F$8,0)</f>
        <v>2</v>
      </c>
      <c r="G5" s="3" t="s">
        <v>97</v>
      </c>
      <c r="H5" s="30" t="s">
        <v>98</v>
      </c>
    </row>
    <row r="6" customFormat="false" ht="15" hidden="false" customHeight="false" outlineLevel="0" collapsed="false">
      <c r="B6" s="2" t="s">
        <v>99</v>
      </c>
    </row>
    <row r="8" customFormat="false" ht="15" hidden="false" customHeight="false" outlineLevel="0" collapsed="false">
      <c r="A8" s="6" t="s">
        <v>100</v>
      </c>
      <c r="B8" s="6" t="s">
        <v>101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102</v>
      </c>
      <c r="H8" s="6" t="s">
        <v>103</v>
      </c>
      <c r="I8" s="6" t="s">
        <v>104</v>
      </c>
    </row>
    <row r="9" customFormat="false" ht="15" hidden="false" customHeight="false" outlineLevel="0" collapsed="false">
      <c r="A9" s="7" t="s">
        <v>105</v>
      </c>
      <c r="B9" s="8"/>
      <c r="C9" s="8"/>
      <c r="D9" s="8"/>
      <c r="E9" s="8"/>
      <c r="F9" s="8"/>
      <c r="G9" s="8"/>
      <c r="H9" s="8"/>
      <c r="I9" s="8"/>
    </row>
    <row r="10" customFormat="false" ht="23.85" hidden="false" customHeight="false" outlineLevel="0" collapsed="false">
      <c r="A10" s="4" t="s">
        <v>106</v>
      </c>
      <c r="B10" s="31" t="s">
        <v>107</v>
      </c>
      <c r="C10" s="4" t="s">
        <v>108</v>
      </c>
      <c r="D10" s="32" t="n">
        <v>46419</v>
      </c>
      <c r="E10" s="32" t="n">
        <v>46419</v>
      </c>
      <c r="F10" s="32" t="n">
        <v>46419</v>
      </c>
      <c r="G10" s="33" t="n">
        <f aca="false">INDEX(D10:F10,$D$5)</f>
        <v>46419</v>
      </c>
      <c r="H10" s="34" t="s">
        <v>109</v>
      </c>
      <c r="I10" s="31" t="s">
        <v>110</v>
      </c>
    </row>
    <row r="11" customFormat="false" ht="15" hidden="false" customHeight="false" outlineLevel="0" collapsed="false">
      <c r="A11" s="4" t="s">
        <v>111</v>
      </c>
      <c r="B11" s="31" t="s">
        <v>112</v>
      </c>
      <c r="C11" s="4" t="s">
        <v>81</v>
      </c>
      <c r="D11" s="35" t="n">
        <v>3</v>
      </c>
      <c r="E11" s="35" t="n">
        <v>3</v>
      </c>
      <c r="F11" s="35" t="n">
        <v>3</v>
      </c>
      <c r="G11" s="36" t="n">
        <f aca="false">INDEX(D11:F11,$D$5)</f>
        <v>3</v>
      </c>
      <c r="H11" s="34" t="s">
        <v>109</v>
      </c>
      <c r="I11" s="31" t="s">
        <v>113</v>
      </c>
    </row>
    <row r="12" customFormat="false" ht="15" hidden="false" customHeight="false" outlineLevel="0" collapsed="false">
      <c r="A12" s="4" t="s">
        <v>114</v>
      </c>
      <c r="B12" s="31" t="s">
        <v>115</v>
      </c>
      <c r="C12" s="4" t="s">
        <v>116</v>
      </c>
      <c r="D12" s="35" t="n">
        <v>17917</v>
      </c>
      <c r="E12" s="35" t="n">
        <v>17917</v>
      </c>
      <c r="F12" s="35" t="n">
        <v>17917</v>
      </c>
      <c r="G12" s="36" t="n">
        <f aca="false">INDEX(D12:F12,$D$5)</f>
        <v>17917</v>
      </c>
      <c r="H12" s="34" t="s">
        <v>117</v>
      </c>
      <c r="I12" s="31" t="s">
        <v>118</v>
      </c>
    </row>
    <row r="13" customFormat="false" ht="23.85" hidden="false" customHeight="false" outlineLevel="0" collapsed="false">
      <c r="A13" s="4" t="s">
        <v>119</v>
      </c>
      <c r="B13" s="31" t="s">
        <v>120</v>
      </c>
      <c r="C13" s="4" t="s">
        <v>81</v>
      </c>
      <c r="D13" s="35" t="n">
        <v>1</v>
      </c>
      <c r="E13" s="35" t="n">
        <v>1</v>
      </c>
      <c r="F13" s="35" t="n">
        <v>1</v>
      </c>
      <c r="G13" s="36" t="n">
        <f aca="false">INDEX(D13:F13,$D$5)</f>
        <v>1</v>
      </c>
      <c r="H13" s="34" t="s">
        <v>109</v>
      </c>
      <c r="I13" s="31" t="s">
        <v>121</v>
      </c>
    </row>
    <row r="14" customFormat="false" ht="15" hidden="false" customHeight="false" outlineLevel="0" collapsed="false">
      <c r="A14" s="7" t="s">
        <v>122</v>
      </c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4" t="s">
        <v>123</v>
      </c>
      <c r="B15" s="31" t="s">
        <v>124</v>
      </c>
      <c r="C15" s="4" t="s">
        <v>125</v>
      </c>
      <c r="D15" s="37" t="n">
        <v>0.05</v>
      </c>
      <c r="E15" s="37" t="n">
        <v>0.05</v>
      </c>
      <c r="F15" s="37" t="n">
        <v>0.05</v>
      </c>
      <c r="G15" s="38" t="n">
        <f aca="false">INDEX(D15:F15,$D$5)</f>
        <v>0.05</v>
      </c>
      <c r="H15" s="34" t="s">
        <v>117</v>
      </c>
      <c r="I15" s="31" t="s">
        <v>126</v>
      </c>
    </row>
    <row r="16" customFormat="false" ht="15" hidden="false" customHeight="false" outlineLevel="0" collapsed="false">
      <c r="A16" s="4" t="s">
        <v>127</v>
      </c>
      <c r="B16" s="31" t="s">
        <v>128</v>
      </c>
      <c r="C16" s="4" t="s">
        <v>46</v>
      </c>
      <c r="D16" s="35" t="n">
        <v>10000</v>
      </c>
      <c r="E16" s="35" t="n">
        <v>10000</v>
      </c>
      <c r="F16" s="35" t="n">
        <v>10000</v>
      </c>
      <c r="G16" s="36" t="n">
        <f aca="false">INDEX(D16:F16,$D$5)</f>
        <v>10000</v>
      </c>
      <c r="H16" s="34" t="s">
        <v>117</v>
      </c>
      <c r="I16" s="31" t="s">
        <v>129</v>
      </c>
    </row>
    <row r="17" customFormat="false" ht="15" hidden="false" customHeight="false" outlineLevel="0" collapsed="false">
      <c r="A17" s="4" t="s">
        <v>130</v>
      </c>
      <c r="B17" s="31" t="s">
        <v>131</v>
      </c>
      <c r="C17" s="4" t="s">
        <v>46</v>
      </c>
      <c r="D17" s="35" t="n">
        <v>750000</v>
      </c>
      <c r="E17" s="35" t="n">
        <v>750000</v>
      </c>
      <c r="F17" s="35" t="n">
        <v>750000</v>
      </c>
      <c r="G17" s="36" t="n">
        <f aca="false">INDEX(D17:F17,$D$5)</f>
        <v>750000</v>
      </c>
      <c r="H17" s="34" t="s">
        <v>117</v>
      </c>
      <c r="I17" s="31" t="s">
        <v>132</v>
      </c>
    </row>
    <row r="18" customFormat="false" ht="23.85" hidden="false" customHeight="false" outlineLevel="0" collapsed="false">
      <c r="A18" s="4" t="s">
        <v>133</v>
      </c>
      <c r="B18" s="31" t="s">
        <v>134</v>
      </c>
      <c r="C18" s="4" t="s">
        <v>125</v>
      </c>
      <c r="D18" s="37" t="n">
        <v>0.015</v>
      </c>
      <c r="E18" s="37" t="n">
        <v>0.015</v>
      </c>
      <c r="F18" s="37" t="n">
        <v>0.015</v>
      </c>
      <c r="G18" s="38" t="n">
        <f aca="false">INDEX(D18:F18,$D$5)</f>
        <v>0.015</v>
      </c>
      <c r="H18" s="34" t="s">
        <v>117</v>
      </c>
      <c r="I18" s="31" t="s">
        <v>135</v>
      </c>
    </row>
    <row r="19" customFormat="false" ht="15" hidden="false" customHeight="false" outlineLevel="0" collapsed="false">
      <c r="A19" s="4" t="s">
        <v>136</v>
      </c>
      <c r="B19" s="31" t="s">
        <v>137</v>
      </c>
      <c r="C19" s="4" t="s">
        <v>46</v>
      </c>
      <c r="D19" s="35" t="n">
        <v>5000</v>
      </c>
      <c r="E19" s="35" t="n">
        <v>5000</v>
      </c>
      <c r="F19" s="35" t="n">
        <v>5000</v>
      </c>
      <c r="G19" s="36" t="n">
        <f aca="false">INDEX(D19:F19,$D$5)</f>
        <v>5000</v>
      </c>
      <c r="H19" s="34" t="s">
        <v>117</v>
      </c>
      <c r="I19" s="31" t="s">
        <v>138</v>
      </c>
    </row>
    <row r="20" customFormat="false" ht="15" hidden="false" customHeight="false" outlineLevel="0" collapsed="false">
      <c r="A20" s="4" t="s">
        <v>139</v>
      </c>
      <c r="B20" s="31" t="s">
        <v>140</v>
      </c>
      <c r="C20" s="4" t="s">
        <v>46</v>
      </c>
      <c r="D20" s="35" t="n">
        <v>300000</v>
      </c>
      <c r="E20" s="35" t="n">
        <v>300000</v>
      </c>
      <c r="F20" s="35" t="n">
        <v>300000</v>
      </c>
      <c r="G20" s="36" t="n">
        <f aca="false">INDEX(D20:F20,$D$5)</f>
        <v>300000</v>
      </c>
      <c r="H20" s="34" t="s">
        <v>117</v>
      </c>
      <c r="I20" s="31" t="s">
        <v>141</v>
      </c>
    </row>
    <row r="21" customFormat="false" ht="15" hidden="false" customHeight="false" outlineLevel="0" collapsed="false">
      <c r="A21" s="4" t="s">
        <v>142</v>
      </c>
      <c r="B21" s="31" t="s">
        <v>143</v>
      </c>
      <c r="C21" s="4" t="s">
        <v>25</v>
      </c>
      <c r="D21" s="39" t="n">
        <v>0.12</v>
      </c>
      <c r="E21" s="39" t="n">
        <v>0.12</v>
      </c>
      <c r="F21" s="39" t="n">
        <v>0.12</v>
      </c>
      <c r="G21" s="40" t="n">
        <f aca="false">INDEX(D21:F21,$D$5)</f>
        <v>0.12</v>
      </c>
      <c r="H21" s="34" t="s">
        <v>117</v>
      </c>
      <c r="I21" s="31" t="s">
        <v>144</v>
      </c>
    </row>
    <row r="22" customFormat="false" ht="15" hidden="false" customHeight="false" outlineLevel="0" collapsed="false">
      <c r="A22" s="4" t="s">
        <v>145</v>
      </c>
      <c r="B22" s="31" t="s">
        <v>146</v>
      </c>
      <c r="C22" s="4" t="s">
        <v>147</v>
      </c>
      <c r="D22" s="41" t="n">
        <v>0.916667</v>
      </c>
      <c r="E22" s="41" t="n">
        <v>0.916667</v>
      </c>
      <c r="F22" s="41" t="n">
        <v>0.916667</v>
      </c>
      <c r="G22" s="42" t="n">
        <f aca="false">INDEX(D22:F22,$D$5)</f>
        <v>0.916667</v>
      </c>
      <c r="H22" s="34" t="s">
        <v>117</v>
      </c>
      <c r="I22" s="31" t="s">
        <v>148</v>
      </c>
    </row>
    <row r="23" customFormat="false" ht="23.85" hidden="false" customHeight="false" outlineLevel="0" collapsed="false">
      <c r="A23" s="4" t="s">
        <v>149</v>
      </c>
      <c r="B23" s="31" t="s">
        <v>150</v>
      </c>
      <c r="C23" s="4" t="s">
        <v>151</v>
      </c>
      <c r="D23" s="43" t="n">
        <v>1</v>
      </c>
      <c r="E23" s="43" t="n">
        <v>1</v>
      </c>
      <c r="F23" s="43" t="n">
        <v>1</v>
      </c>
      <c r="G23" s="44" t="n">
        <f aca="false">INDEX(D23:F23,$D$5)</f>
        <v>1</v>
      </c>
      <c r="H23" s="34" t="s">
        <v>117</v>
      </c>
      <c r="I23" s="31" t="s">
        <v>152</v>
      </c>
    </row>
    <row r="24" customFormat="false" ht="15" hidden="false" customHeight="false" outlineLevel="0" collapsed="false">
      <c r="A24" s="4" t="s">
        <v>153</v>
      </c>
      <c r="B24" s="31" t="s">
        <v>154</v>
      </c>
      <c r="C24" s="4" t="s">
        <v>46</v>
      </c>
      <c r="D24" s="35" t="n">
        <v>25000</v>
      </c>
      <c r="E24" s="35" t="n">
        <v>25000</v>
      </c>
      <c r="F24" s="35" t="n">
        <v>25000</v>
      </c>
      <c r="G24" s="36" t="n">
        <f aca="false">INDEX(D24:F24,$D$5)</f>
        <v>25000</v>
      </c>
      <c r="H24" s="34" t="s">
        <v>117</v>
      </c>
      <c r="I24" s="31" t="s">
        <v>155</v>
      </c>
    </row>
    <row r="25" customFormat="false" ht="15" hidden="false" customHeight="false" outlineLevel="0" collapsed="false">
      <c r="A25" s="4" t="s">
        <v>156</v>
      </c>
      <c r="B25" s="31" t="s">
        <v>157</v>
      </c>
      <c r="C25" s="4" t="s">
        <v>25</v>
      </c>
      <c r="D25" s="39" t="n">
        <v>0.3</v>
      </c>
      <c r="E25" s="39" t="n">
        <v>0.3</v>
      </c>
      <c r="F25" s="39" t="n">
        <v>0.3</v>
      </c>
      <c r="G25" s="40" t="n">
        <f aca="false">INDEX(D25:F25,$D$5)</f>
        <v>0.3</v>
      </c>
      <c r="H25" s="34" t="s">
        <v>117</v>
      </c>
      <c r="I25" s="31" t="s">
        <v>158</v>
      </c>
    </row>
    <row r="26" customFormat="false" ht="15" hidden="false" customHeight="false" outlineLevel="0" collapsed="false">
      <c r="A26" s="4" t="s">
        <v>159</v>
      </c>
      <c r="B26" s="31" t="s">
        <v>160</v>
      </c>
      <c r="C26" s="4" t="s">
        <v>46</v>
      </c>
      <c r="D26" s="35" t="n">
        <v>100000</v>
      </c>
      <c r="E26" s="35" t="n">
        <v>100000</v>
      </c>
      <c r="F26" s="35" t="n">
        <v>100000</v>
      </c>
      <c r="G26" s="36" t="n">
        <f aca="false">INDEX(D26:F26,$D$5)</f>
        <v>100000</v>
      </c>
      <c r="H26" s="34" t="s">
        <v>117</v>
      </c>
      <c r="I26" s="31" t="s">
        <v>161</v>
      </c>
    </row>
    <row r="27" customFormat="false" ht="23.85" hidden="false" customHeight="false" outlineLevel="0" collapsed="false">
      <c r="A27" s="4" t="s">
        <v>162</v>
      </c>
      <c r="B27" s="31" t="s">
        <v>163</v>
      </c>
      <c r="C27" s="4" t="s">
        <v>25</v>
      </c>
      <c r="D27" s="39" t="n">
        <v>0.015</v>
      </c>
      <c r="E27" s="39" t="n">
        <v>0.015</v>
      </c>
      <c r="F27" s="39" t="n">
        <v>0.015</v>
      </c>
      <c r="G27" s="40" t="n">
        <f aca="false">INDEX(D27:F27,$D$5)</f>
        <v>0.015</v>
      </c>
      <c r="H27" s="34" t="s">
        <v>117</v>
      </c>
      <c r="I27" s="31" t="s">
        <v>164</v>
      </c>
    </row>
    <row r="28" customFormat="false" ht="15" hidden="false" customHeight="false" outlineLevel="0" collapsed="false">
      <c r="A28" s="7" t="s">
        <v>165</v>
      </c>
      <c r="B28" s="8"/>
      <c r="C28" s="8"/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A29" s="4" t="s">
        <v>166</v>
      </c>
      <c r="B29" s="31" t="s">
        <v>167</v>
      </c>
      <c r="C29" s="4" t="s">
        <v>46</v>
      </c>
      <c r="D29" s="35" t="n">
        <v>4500</v>
      </c>
      <c r="E29" s="35" t="n">
        <v>4500</v>
      </c>
      <c r="F29" s="35" t="n">
        <v>4500</v>
      </c>
      <c r="G29" s="36" t="n">
        <f aca="false">INDEX(D29:F29,$D$5)</f>
        <v>4500</v>
      </c>
      <c r="H29" s="34" t="s">
        <v>117</v>
      </c>
      <c r="I29" s="31" t="s">
        <v>168</v>
      </c>
    </row>
    <row r="30" customFormat="false" ht="15" hidden="false" customHeight="false" outlineLevel="0" collapsed="false">
      <c r="A30" s="4" t="s">
        <v>169</v>
      </c>
      <c r="B30" s="31" t="s">
        <v>170</v>
      </c>
      <c r="C30" s="4" t="s">
        <v>25</v>
      </c>
      <c r="D30" s="37" t="n">
        <v>0</v>
      </c>
      <c r="E30" s="37" t="n">
        <v>0</v>
      </c>
      <c r="F30" s="37" t="n">
        <v>0</v>
      </c>
      <c r="G30" s="38" t="n">
        <f aca="false">INDEX(D30:F30,$D$5)</f>
        <v>0</v>
      </c>
      <c r="H30" s="34" t="s">
        <v>117</v>
      </c>
      <c r="I30" s="31" t="s">
        <v>171</v>
      </c>
    </row>
    <row r="31" customFormat="false" ht="15" hidden="false" customHeight="false" outlineLevel="0" collapsed="false">
      <c r="A31" s="4" t="s">
        <v>172</v>
      </c>
      <c r="B31" s="31" t="s">
        <v>173</v>
      </c>
      <c r="C31" s="4" t="s">
        <v>46</v>
      </c>
      <c r="D31" s="35" t="n">
        <v>0</v>
      </c>
      <c r="E31" s="35" t="n">
        <v>0</v>
      </c>
      <c r="F31" s="35" t="n">
        <v>0</v>
      </c>
      <c r="G31" s="36" t="n">
        <f aca="false">INDEX(D31:F31,$D$5)</f>
        <v>0</v>
      </c>
      <c r="H31" s="34" t="s">
        <v>117</v>
      </c>
      <c r="I31" s="31" t="s">
        <v>174</v>
      </c>
    </row>
    <row r="32" customFormat="false" ht="15" hidden="false" customHeight="false" outlineLevel="0" collapsed="false">
      <c r="A32" s="4" t="s">
        <v>175</v>
      </c>
      <c r="B32" s="31" t="s">
        <v>176</v>
      </c>
      <c r="C32" s="4" t="s">
        <v>25</v>
      </c>
      <c r="D32" s="37" t="n">
        <v>0.007</v>
      </c>
      <c r="E32" s="37" t="n">
        <v>0.007</v>
      </c>
      <c r="F32" s="37" t="n">
        <v>0.007</v>
      </c>
      <c r="G32" s="38" t="n">
        <f aca="false">INDEX(D32:F32,$D$5)</f>
        <v>0.007</v>
      </c>
      <c r="H32" s="34" t="s">
        <v>117</v>
      </c>
      <c r="I32" s="31" t="s">
        <v>177</v>
      </c>
    </row>
    <row r="33" customFormat="false" ht="15" hidden="false" customHeight="false" outlineLevel="0" collapsed="false">
      <c r="A33" s="4" t="s">
        <v>178</v>
      </c>
      <c r="B33" s="31" t="s">
        <v>179</v>
      </c>
      <c r="C33" s="4" t="s">
        <v>46</v>
      </c>
      <c r="D33" s="35" t="n">
        <v>0</v>
      </c>
      <c r="E33" s="35" t="n">
        <v>0</v>
      </c>
      <c r="F33" s="35" t="n">
        <v>0</v>
      </c>
      <c r="G33" s="36" t="n">
        <f aca="false">INDEX(D33:F33,$D$5)</f>
        <v>0</v>
      </c>
      <c r="H33" s="34" t="s">
        <v>117</v>
      </c>
      <c r="I33" s="31" t="s">
        <v>180</v>
      </c>
    </row>
    <row r="34" customFormat="false" ht="15" hidden="false" customHeight="false" outlineLevel="0" collapsed="false">
      <c r="A34" s="4" t="s">
        <v>181</v>
      </c>
      <c r="B34" s="31" t="s">
        <v>182</v>
      </c>
      <c r="C34" s="4" t="s">
        <v>25</v>
      </c>
      <c r="D34" s="37" t="n">
        <v>0.015</v>
      </c>
      <c r="E34" s="37" t="n">
        <v>0.015</v>
      </c>
      <c r="F34" s="37" t="n">
        <v>0.015</v>
      </c>
      <c r="G34" s="38" t="n">
        <f aca="false">INDEX(D34:F34,$D$5)</f>
        <v>0.015</v>
      </c>
      <c r="H34" s="34" t="s">
        <v>117</v>
      </c>
      <c r="I34" s="31" t="s">
        <v>183</v>
      </c>
    </row>
    <row r="35" customFormat="false" ht="15" hidden="false" customHeight="false" outlineLevel="0" collapsed="false">
      <c r="A35" s="4" t="s">
        <v>184</v>
      </c>
      <c r="B35" s="31" t="s">
        <v>185</v>
      </c>
      <c r="C35" s="4" t="s">
        <v>46</v>
      </c>
      <c r="D35" s="35" t="n">
        <v>2000</v>
      </c>
      <c r="E35" s="35" t="n">
        <v>2000</v>
      </c>
      <c r="F35" s="35" t="n">
        <v>2000</v>
      </c>
      <c r="G35" s="36" t="n">
        <f aca="false">INDEX(D35:F35,$D$5)</f>
        <v>2000</v>
      </c>
      <c r="H35" s="34" t="s">
        <v>117</v>
      </c>
      <c r="I35" s="31" t="s">
        <v>186</v>
      </c>
    </row>
    <row r="36" customFormat="false" ht="15" hidden="false" customHeight="false" outlineLevel="0" collapsed="false">
      <c r="A36" s="4" t="s">
        <v>187</v>
      </c>
      <c r="B36" s="31" t="s">
        <v>188</v>
      </c>
      <c r="C36" s="4" t="s">
        <v>25</v>
      </c>
      <c r="D36" s="37" t="n">
        <v>0.029</v>
      </c>
      <c r="E36" s="37" t="n">
        <v>0.029</v>
      </c>
      <c r="F36" s="37" t="n">
        <v>0.029</v>
      </c>
      <c r="G36" s="38" t="n">
        <f aca="false">INDEX(D36:F36,$D$5)</f>
        <v>0.029</v>
      </c>
      <c r="H36" s="34" t="s">
        <v>117</v>
      </c>
      <c r="I36" s="31" t="s">
        <v>189</v>
      </c>
    </row>
    <row r="37" customFormat="false" ht="15" hidden="false" customHeight="false" outlineLevel="0" collapsed="false">
      <c r="A37" s="7" t="s">
        <v>190</v>
      </c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4" t="s">
        <v>191</v>
      </c>
      <c r="B38" s="31" t="s">
        <v>192</v>
      </c>
      <c r="C38" s="4" t="s">
        <v>46</v>
      </c>
      <c r="D38" s="35" t="n">
        <v>9000</v>
      </c>
      <c r="E38" s="35" t="n">
        <v>9000</v>
      </c>
      <c r="F38" s="35" t="n">
        <v>9000</v>
      </c>
      <c r="G38" s="36" t="n">
        <f aca="false">INDEX(D38:F38,$D$5)</f>
        <v>9000</v>
      </c>
      <c r="H38" s="34" t="s">
        <v>117</v>
      </c>
      <c r="I38" s="31" t="s">
        <v>193</v>
      </c>
    </row>
    <row r="39" customFormat="false" ht="15" hidden="false" customHeight="false" outlineLevel="0" collapsed="false">
      <c r="A39" s="4" t="s">
        <v>194</v>
      </c>
      <c r="B39" s="31" t="s">
        <v>195</v>
      </c>
      <c r="C39" s="4" t="s">
        <v>46</v>
      </c>
      <c r="D39" s="35" t="n">
        <v>4000</v>
      </c>
      <c r="E39" s="35" t="n">
        <v>4000</v>
      </c>
      <c r="F39" s="35" t="n">
        <v>4000</v>
      </c>
      <c r="G39" s="36" t="n">
        <f aca="false">INDEX(D39:F39,$D$5)</f>
        <v>4000</v>
      </c>
      <c r="H39" s="34" t="s">
        <v>117</v>
      </c>
      <c r="I39" s="31" t="s">
        <v>196</v>
      </c>
    </row>
    <row r="40" customFormat="false" ht="15" hidden="false" customHeight="false" outlineLevel="0" collapsed="false">
      <c r="A40" s="4" t="s">
        <v>197</v>
      </c>
      <c r="B40" s="31" t="s">
        <v>198</v>
      </c>
      <c r="C40" s="4" t="s">
        <v>25</v>
      </c>
      <c r="D40" s="37" t="n">
        <v>0.007</v>
      </c>
      <c r="E40" s="37" t="n">
        <v>0.007</v>
      </c>
      <c r="F40" s="37" t="n">
        <v>0.007</v>
      </c>
      <c r="G40" s="38" t="n">
        <f aca="false">INDEX(D40:F40,$D$5)</f>
        <v>0.007</v>
      </c>
      <c r="H40" s="34" t="s">
        <v>117</v>
      </c>
      <c r="I40" s="31" t="s">
        <v>199</v>
      </c>
    </row>
    <row r="41" customFormat="false" ht="23.85" hidden="false" customHeight="false" outlineLevel="0" collapsed="false">
      <c r="A41" s="4" t="s">
        <v>200</v>
      </c>
      <c r="B41" s="31" t="s">
        <v>201</v>
      </c>
      <c r="C41" s="4" t="s">
        <v>25</v>
      </c>
      <c r="D41" s="37" t="n">
        <v>0.035</v>
      </c>
      <c r="E41" s="37" t="n">
        <v>0.03</v>
      </c>
      <c r="F41" s="37" t="n">
        <v>0.025</v>
      </c>
      <c r="G41" s="38" t="n">
        <f aca="false">INDEX(D41:F41,$D$5)</f>
        <v>0.03</v>
      </c>
      <c r="H41" s="34" t="s">
        <v>109</v>
      </c>
      <c r="I41" s="31" t="s">
        <v>202</v>
      </c>
    </row>
    <row r="42" customFormat="false" ht="15" hidden="false" customHeight="false" outlineLevel="0" collapsed="false">
      <c r="A42" s="4" t="s">
        <v>203</v>
      </c>
      <c r="B42" s="31" t="s">
        <v>204</v>
      </c>
      <c r="C42" s="4" t="s">
        <v>25</v>
      </c>
      <c r="D42" s="37" t="n">
        <v>0.029</v>
      </c>
      <c r="E42" s="37" t="n">
        <v>0.029</v>
      </c>
      <c r="F42" s="37" t="n">
        <v>0.029</v>
      </c>
      <c r="G42" s="38" t="n">
        <f aca="false">INDEX(D42:F42,$D$5)</f>
        <v>0.029</v>
      </c>
      <c r="H42" s="34" t="s">
        <v>117</v>
      </c>
      <c r="I42" s="31" t="s">
        <v>205</v>
      </c>
    </row>
    <row r="43" customFormat="false" ht="15" hidden="false" customHeight="false" outlineLevel="0" collapsed="false">
      <c r="A43" s="4" t="s">
        <v>206</v>
      </c>
      <c r="B43" s="31" t="s">
        <v>207</v>
      </c>
      <c r="C43" s="4" t="s">
        <v>46</v>
      </c>
      <c r="D43" s="35" t="n">
        <v>2000</v>
      </c>
      <c r="E43" s="35" t="n">
        <v>2000</v>
      </c>
      <c r="F43" s="35" t="n">
        <v>2000</v>
      </c>
      <c r="G43" s="36" t="n">
        <f aca="false">INDEX(D43:F43,$D$5)</f>
        <v>2000</v>
      </c>
      <c r="H43" s="34" t="s">
        <v>117</v>
      </c>
      <c r="I43" s="31" t="s">
        <v>208</v>
      </c>
    </row>
    <row r="44" customFormat="false" ht="23.85" hidden="false" customHeight="false" outlineLevel="0" collapsed="false">
      <c r="A44" s="4" t="s">
        <v>209</v>
      </c>
      <c r="B44" s="31" t="s">
        <v>210</v>
      </c>
      <c r="C44" s="4" t="s">
        <v>25</v>
      </c>
      <c r="D44" s="39" t="n">
        <v>0.11</v>
      </c>
      <c r="E44" s="39" t="n">
        <v>0.11</v>
      </c>
      <c r="F44" s="39" t="n">
        <v>0.11</v>
      </c>
      <c r="G44" s="40" t="n">
        <f aca="false">INDEX(D44:F44,$D$5)</f>
        <v>0.11</v>
      </c>
      <c r="H44" s="34" t="s">
        <v>117</v>
      </c>
      <c r="I44" s="31" t="s">
        <v>211</v>
      </c>
    </row>
    <row r="45" customFormat="false" ht="23.85" hidden="false" customHeight="false" outlineLevel="0" collapsed="false">
      <c r="A45" s="4" t="s">
        <v>212</v>
      </c>
      <c r="B45" s="31" t="s">
        <v>213</v>
      </c>
      <c r="C45" s="4" t="s">
        <v>46</v>
      </c>
      <c r="D45" s="35" t="n">
        <v>4000</v>
      </c>
      <c r="E45" s="35" t="n">
        <v>4500</v>
      </c>
      <c r="F45" s="35" t="n">
        <v>4500</v>
      </c>
      <c r="G45" s="36" t="n">
        <f aca="false">INDEX(D45:F45,$D$5)</f>
        <v>4500</v>
      </c>
      <c r="H45" s="34" t="s">
        <v>109</v>
      </c>
      <c r="I45" s="31" t="s">
        <v>214</v>
      </c>
    </row>
    <row r="46" customFormat="false" ht="23.85" hidden="false" customHeight="false" outlineLevel="0" collapsed="false">
      <c r="A46" s="4" t="s">
        <v>215</v>
      </c>
      <c r="B46" s="31" t="s">
        <v>216</v>
      </c>
      <c r="C46" s="4" t="s">
        <v>25</v>
      </c>
      <c r="D46" s="37" t="n">
        <v>0.01</v>
      </c>
      <c r="E46" s="37" t="n">
        <v>0</v>
      </c>
      <c r="F46" s="37" t="n">
        <v>0</v>
      </c>
      <c r="G46" s="38" t="n">
        <f aca="false">INDEX(D46:F46,$D$5)</f>
        <v>0</v>
      </c>
      <c r="H46" s="34" t="s">
        <v>109</v>
      </c>
      <c r="I46" s="31" t="s">
        <v>217</v>
      </c>
    </row>
    <row r="47" customFormat="false" ht="15" hidden="false" customHeight="false" outlineLevel="0" collapsed="false">
      <c r="A47" s="4" t="s">
        <v>218</v>
      </c>
      <c r="B47" s="31" t="s">
        <v>219</v>
      </c>
      <c r="C47" s="4" t="s">
        <v>46</v>
      </c>
      <c r="D47" s="35" t="n">
        <v>2500</v>
      </c>
      <c r="E47" s="35" t="n">
        <v>2500</v>
      </c>
      <c r="F47" s="35" t="n">
        <v>2500</v>
      </c>
      <c r="G47" s="36" t="n">
        <f aca="false">INDEX(D47:F47,$D$5)</f>
        <v>2500</v>
      </c>
      <c r="H47" s="34" t="s">
        <v>117</v>
      </c>
      <c r="I47" s="31" t="s">
        <v>196</v>
      </c>
    </row>
    <row r="48" customFormat="false" ht="15" hidden="false" customHeight="false" outlineLevel="0" collapsed="false">
      <c r="A48" s="4" t="s">
        <v>220</v>
      </c>
      <c r="B48" s="31" t="s">
        <v>221</v>
      </c>
      <c r="C48" s="4" t="s">
        <v>46</v>
      </c>
      <c r="D48" s="35" t="n">
        <v>10000000</v>
      </c>
      <c r="E48" s="35" t="n">
        <v>10000000</v>
      </c>
      <c r="F48" s="35" t="n">
        <v>10000000</v>
      </c>
      <c r="G48" s="36" t="n">
        <f aca="false">INDEX(D48:F48,$D$5)</f>
        <v>10000000</v>
      </c>
      <c r="H48" s="34" t="s">
        <v>117</v>
      </c>
      <c r="I48" s="31" t="s">
        <v>222</v>
      </c>
    </row>
    <row r="49" customFormat="false" ht="15" hidden="false" customHeight="false" outlineLevel="0" collapsed="false">
      <c r="A49" s="4" t="s">
        <v>223</v>
      </c>
      <c r="B49" s="31" t="s">
        <v>224</v>
      </c>
      <c r="C49" s="4" t="s">
        <v>225</v>
      </c>
      <c r="D49" s="35" t="n">
        <v>25</v>
      </c>
      <c r="E49" s="35" t="n">
        <v>25</v>
      </c>
      <c r="F49" s="35" t="n">
        <v>25</v>
      </c>
      <c r="G49" s="36" t="n">
        <f aca="false">INDEX(D49:F49,$D$5)</f>
        <v>25</v>
      </c>
      <c r="H49" s="34" t="s">
        <v>117</v>
      </c>
      <c r="I49" s="31" t="s">
        <v>226</v>
      </c>
    </row>
    <row r="50" customFormat="false" ht="15" hidden="false" customHeight="false" outlineLevel="0" collapsed="false">
      <c r="A50" s="4" t="s">
        <v>227</v>
      </c>
      <c r="B50" s="31" t="s">
        <v>228</v>
      </c>
      <c r="C50" s="4" t="s">
        <v>25</v>
      </c>
      <c r="D50" s="37" t="n">
        <v>0.01</v>
      </c>
      <c r="E50" s="37" t="n">
        <v>0.005</v>
      </c>
      <c r="F50" s="37" t="n">
        <v>0.003</v>
      </c>
      <c r="G50" s="38" t="n">
        <f aca="false">INDEX(D50:F50,$D$5)</f>
        <v>0.005</v>
      </c>
      <c r="H50" s="34" t="s">
        <v>109</v>
      </c>
      <c r="I50" s="31" t="s">
        <v>229</v>
      </c>
    </row>
    <row r="51" customFormat="false" ht="15" hidden="false" customHeight="false" outlineLevel="0" collapsed="false">
      <c r="A51" s="7" t="s">
        <v>230</v>
      </c>
      <c r="B51" s="8"/>
      <c r="C51" s="8"/>
      <c r="D51" s="8"/>
      <c r="E51" s="8"/>
      <c r="F51" s="8"/>
      <c r="G51" s="8"/>
      <c r="H51" s="8"/>
      <c r="I51" s="8"/>
    </row>
    <row r="52" customFormat="false" ht="15" hidden="false" customHeight="false" outlineLevel="0" collapsed="false">
      <c r="A52" s="4" t="s">
        <v>231</v>
      </c>
      <c r="B52" s="31" t="s">
        <v>232</v>
      </c>
      <c r="C52" s="4" t="s">
        <v>25</v>
      </c>
      <c r="D52" s="39" t="n">
        <v>0.6</v>
      </c>
      <c r="E52" s="39" t="n">
        <v>0.5</v>
      </c>
      <c r="F52" s="39" t="n">
        <v>0.4</v>
      </c>
      <c r="G52" s="40" t="n">
        <f aca="false">INDEX(D52:F52,$D$5)</f>
        <v>0.5</v>
      </c>
      <c r="H52" s="34" t="s">
        <v>109</v>
      </c>
      <c r="I52" s="31" t="s">
        <v>233</v>
      </c>
    </row>
    <row r="53" customFormat="false" ht="15" hidden="false" customHeight="false" outlineLevel="0" collapsed="false">
      <c r="A53" s="4" t="s">
        <v>234</v>
      </c>
      <c r="B53" s="31" t="s">
        <v>235</v>
      </c>
      <c r="C53" s="4" t="s">
        <v>25</v>
      </c>
      <c r="D53" s="39" t="n">
        <v>0.2</v>
      </c>
      <c r="E53" s="39" t="n">
        <v>0.25</v>
      </c>
      <c r="F53" s="39" t="n">
        <v>0.3</v>
      </c>
      <c r="G53" s="40" t="n">
        <f aca="false">INDEX(D53:F53,$D$5)</f>
        <v>0.25</v>
      </c>
      <c r="H53" s="34" t="s">
        <v>109</v>
      </c>
      <c r="I53" s="31" t="s">
        <v>236</v>
      </c>
    </row>
    <row r="54" customFormat="false" ht="15" hidden="false" customHeight="false" outlineLevel="0" collapsed="false">
      <c r="A54" s="4" t="s">
        <v>237</v>
      </c>
      <c r="B54" s="31" t="s">
        <v>238</v>
      </c>
      <c r="C54" s="4" t="s">
        <v>25</v>
      </c>
      <c r="D54" s="39" t="n">
        <v>0.12</v>
      </c>
      <c r="E54" s="39" t="n">
        <v>0.15</v>
      </c>
      <c r="F54" s="39" t="n">
        <v>0.18</v>
      </c>
      <c r="G54" s="40" t="n">
        <f aca="false">INDEX(D54:F54,$D$5)</f>
        <v>0.15</v>
      </c>
      <c r="H54" s="34" t="s">
        <v>109</v>
      </c>
      <c r="I54" s="31"/>
    </row>
    <row r="55" customFormat="false" ht="15" hidden="false" customHeight="false" outlineLevel="0" collapsed="false">
      <c r="A55" s="4" t="s">
        <v>239</v>
      </c>
      <c r="B55" s="31" t="s">
        <v>240</v>
      </c>
      <c r="C55" s="4" t="s">
        <v>25</v>
      </c>
      <c r="D55" s="39" t="n">
        <v>0.08</v>
      </c>
      <c r="E55" s="39" t="n">
        <v>0.1</v>
      </c>
      <c r="F55" s="39" t="n">
        <v>0.12</v>
      </c>
      <c r="G55" s="40" t="n">
        <f aca="false">INDEX(D55:F55,$D$5)</f>
        <v>0.1</v>
      </c>
      <c r="H55" s="34" t="s">
        <v>109</v>
      </c>
      <c r="I55" s="31"/>
    </row>
    <row r="56" customFormat="false" ht="15" hidden="false" customHeight="false" outlineLevel="0" collapsed="false">
      <c r="A56" s="4" t="s">
        <v>241</v>
      </c>
      <c r="B56" s="31" t="s">
        <v>242</v>
      </c>
      <c r="C56" s="4" t="s">
        <v>25</v>
      </c>
      <c r="D56" s="40" t="n">
        <f aca="false">SUM(D52:D55)</f>
        <v>1</v>
      </c>
      <c r="E56" s="40" t="n">
        <f aca="false">SUM(E52:E55)</f>
        <v>1</v>
      </c>
      <c r="F56" s="40" t="n">
        <f aca="false">SUM(F52:F55)</f>
        <v>1</v>
      </c>
      <c r="G56" s="40" t="n">
        <f aca="false">INDEX(D56:F56,$D$5)</f>
        <v>1</v>
      </c>
      <c r="H56" s="34" t="s">
        <v>243</v>
      </c>
      <c r="I56" s="31" t="s">
        <v>244</v>
      </c>
    </row>
    <row r="57" customFormat="false" ht="15" hidden="false" customHeight="false" outlineLevel="0" collapsed="false">
      <c r="A57" s="7" t="s">
        <v>245</v>
      </c>
      <c r="B57" s="8"/>
      <c r="C57" s="8"/>
      <c r="D57" s="8"/>
      <c r="E57" s="8"/>
      <c r="F57" s="8"/>
      <c r="G57" s="8"/>
      <c r="H57" s="8"/>
      <c r="I57" s="8"/>
    </row>
    <row r="58" customFormat="false" ht="23.85" hidden="false" customHeight="false" outlineLevel="0" collapsed="false">
      <c r="A58" s="4" t="s">
        <v>246</v>
      </c>
      <c r="B58" s="31" t="s">
        <v>247</v>
      </c>
      <c r="C58" s="4" t="s">
        <v>46</v>
      </c>
      <c r="D58" s="45" t="n">
        <v>1500000</v>
      </c>
      <c r="E58" s="45" t="n">
        <v>2000000</v>
      </c>
      <c r="F58" s="45" t="n">
        <v>2500000</v>
      </c>
      <c r="G58" s="36" t="n">
        <f aca="false">INDEX(D58:F58,$D$5)</f>
        <v>2000000</v>
      </c>
      <c r="H58" s="34" t="s">
        <v>109</v>
      </c>
      <c r="I58" s="31" t="s">
        <v>248</v>
      </c>
    </row>
    <row r="59" customFormat="false" ht="15" hidden="false" customHeight="false" outlineLevel="0" collapsed="false">
      <c r="A59" s="4" t="s">
        <v>249</v>
      </c>
      <c r="B59" s="31" t="s">
        <v>250</v>
      </c>
      <c r="C59" s="4" t="s">
        <v>25</v>
      </c>
      <c r="D59" s="39" t="n">
        <v>0.1</v>
      </c>
      <c r="E59" s="39" t="n">
        <v>0.1</v>
      </c>
      <c r="F59" s="39" t="n">
        <v>0.1</v>
      </c>
      <c r="G59" s="40" t="n">
        <f aca="false">INDEX(D59:F59,$D$5)</f>
        <v>0.1</v>
      </c>
      <c r="H59" s="34" t="s">
        <v>109</v>
      </c>
      <c r="I59" s="31" t="s">
        <v>251</v>
      </c>
    </row>
    <row r="60" customFormat="false" ht="23.85" hidden="false" customHeight="false" outlineLevel="0" collapsed="false">
      <c r="A60" s="4" t="s">
        <v>252</v>
      </c>
      <c r="B60" s="31" t="s">
        <v>253</v>
      </c>
      <c r="C60" s="4" t="s">
        <v>25</v>
      </c>
      <c r="D60" s="39" t="n">
        <v>0.1</v>
      </c>
      <c r="E60" s="39" t="n">
        <v>0.1</v>
      </c>
      <c r="F60" s="39" t="n">
        <v>0.1</v>
      </c>
      <c r="G60" s="40" t="n">
        <f aca="false">INDEX(D60:F60,$D$5)</f>
        <v>0.1</v>
      </c>
      <c r="H60" s="34" t="s">
        <v>117</v>
      </c>
      <c r="I60" s="31" t="s">
        <v>254</v>
      </c>
    </row>
    <row r="61" customFormat="false" ht="15" hidden="false" customHeight="false" outlineLevel="0" collapsed="false">
      <c r="A61" s="4" t="s">
        <v>255</v>
      </c>
      <c r="B61" s="31" t="s">
        <v>256</v>
      </c>
      <c r="C61" s="4" t="s">
        <v>25</v>
      </c>
      <c r="D61" s="39" t="n">
        <v>0.12</v>
      </c>
      <c r="E61" s="39" t="n">
        <v>0.12</v>
      </c>
      <c r="F61" s="39" t="n">
        <v>0.12</v>
      </c>
      <c r="G61" s="40" t="n">
        <f aca="false">INDEX(D61:F61,$D$5)</f>
        <v>0.12</v>
      </c>
      <c r="H61" s="34" t="s">
        <v>117</v>
      </c>
      <c r="I61" s="31" t="s">
        <v>257</v>
      </c>
    </row>
    <row r="62" customFormat="false" ht="15" hidden="false" customHeight="false" outlineLevel="0" collapsed="false">
      <c r="A62" s="4" t="s">
        <v>258</v>
      </c>
      <c r="B62" s="31" t="s">
        <v>259</v>
      </c>
      <c r="C62" s="4" t="s">
        <v>147</v>
      </c>
      <c r="D62" s="41" t="n">
        <v>0.916667</v>
      </c>
      <c r="E62" s="41" t="n">
        <v>0.916667</v>
      </c>
      <c r="F62" s="41" t="n">
        <v>0.916667</v>
      </c>
      <c r="G62" s="42" t="n">
        <f aca="false">INDEX(D62:F62,$D$5)</f>
        <v>0.916667</v>
      </c>
      <c r="H62" s="34" t="s">
        <v>117</v>
      </c>
      <c r="I62" s="31" t="s">
        <v>260</v>
      </c>
    </row>
    <row r="63" customFormat="false" ht="23.85" hidden="false" customHeight="false" outlineLevel="0" collapsed="false">
      <c r="A63" s="4" t="s">
        <v>261</v>
      </c>
      <c r="B63" s="31" t="s">
        <v>262</v>
      </c>
      <c r="C63" s="4" t="s">
        <v>25</v>
      </c>
      <c r="D63" s="39" t="n">
        <v>0.05</v>
      </c>
      <c r="E63" s="39" t="n">
        <v>0.05</v>
      </c>
      <c r="F63" s="39" t="n">
        <v>0.05</v>
      </c>
      <c r="G63" s="40" t="n">
        <f aca="false">INDEX(D63:F63,$D$5)</f>
        <v>0.05</v>
      </c>
      <c r="H63" s="34" t="s">
        <v>117</v>
      </c>
      <c r="I63" s="31" t="s">
        <v>263</v>
      </c>
    </row>
    <row r="64" customFormat="false" ht="15" hidden="false" customHeight="false" outlineLevel="0" collapsed="false">
      <c r="A64" s="7" t="s">
        <v>264</v>
      </c>
      <c r="B64" s="8"/>
      <c r="C64" s="8"/>
      <c r="D64" s="8"/>
      <c r="E64" s="8"/>
      <c r="F64" s="8"/>
      <c r="G64" s="8"/>
      <c r="H64" s="8"/>
      <c r="I64" s="8"/>
    </row>
    <row r="65" customFormat="false" ht="23.85" hidden="false" customHeight="false" outlineLevel="0" collapsed="false">
      <c r="A65" s="4" t="s">
        <v>265</v>
      </c>
      <c r="B65" s="31" t="s">
        <v>266</v>
      </c>
      <c r="C65" s="4" t="s">
        <v>25</v>
      </c>
      <c r="D65" s="39" t="n">
        <v>0.08</v>
      </c>
      <c r="E65" s="39" t="n">
        <v>0.05</v>
      </c>
      <c r="F65" s="39" t="n">
        <v>0.04</v>
      </c>
      <c r="G65" s="40" t="n">
        <f aca="false">INDEX(D65:F65,$D$5)</f>
        <v>0.05</v>
      </c>
      <c r="H65" s="34" t="s">
        <v>109</v>
      </c>
      <c r="I65" s="31" t="s">
        <v>267</v>
      </c>
    </row>
    <row r="66" customFormat="false" ht="15" hidden="false" customHeight="false" outlineLevel="0" collapsed="false">
      <c r="A66" s="4" t="s">
        <v>268</v>
      </c>
      <c r="B66" s="31" t="s">
        <v>269</v>
      </c>
      <c r="C66" s="4" t="s">
        <v>270</v>
      </c>
      <c r="D66" s="39" t="n">
        <v>0.6</v>
      </c>
      <c r="E66" s="39" t="n">
        <v>0.4</v>
      </c>
      <c r="F66" s="39" t="n">
        <v>0.3</v>
      </c>
      <c r="G66" s="40" t="n">
        <f aca="false">INDEX(D66:F66,$D$5)</f>
        <v>0.4</v>
      </c>
      <c r="H66" s="34" t="s">
        <v>109</v>
      </c>
      <c r="I66" s="31" t="s">
        <v>271</v>
      </c>
    </row>
    <row r="67" customFormat="false" ht="15" hidden="false" customHeight="false" outlineLevel="0" collapsed="false">
      <c r="A67" s="4" t="s">
        <v>272</v>
      </c>
      <c r="B67" s="31" t="s">
        <v>273</v>
      </c>
      <c r="C67" s="4" t="s">
        <v>46</v>
      </c>
      <c r="D67" s="35" t="n">
        <v>12500</v>
      </c>
      <c r="E67" s="35" t="n">
        <v>10000</v>
      </c>
      <c r="F67" s="35" t="n">
        <v>8000</v>
      </c>
      <c r="G67" s="36" t="n">
        <f aca="false">INDEX(D67:F67,$D$5)</f>
        <v>10000</v>
      </c>
      <c r="H67" s="34" t="s">
        <v>109</v>
      </c>
      <c r="I67" s="31" t="s">
        <v>274</v>
      </c>
    </row>
    <row r="68" customFormat="false" ht="15" hidden="false" customHeight="false" outlineLevel="0" collapsed="false">
      <c r="A68" s="4" t="s">
        <v>275</v>
      </c>
      <c r="B68" s="31" t="s">
        <v>276</v>
      </c>
      <c r="C68" s="4" t="s">
        <v>25</v>
      </c>
      <c r="D68" s="39" t="n">
        <v>0.15</v>
      </c>
      <c r="E68" s="39" t="n">
        <v>0.12</v>
      </c>
      <c r="F68" s="39" t="n">
        <v>0.1</v>
      </c>
      <c r="G68" s="40" t="n">
        <f aca="false">INDEX(D68:F68,$D$5)</f>
        <v>0.12</v>
      </c>
      <c r="H68" s="34" t="s">
        <v>109</v>
      </c>
      <c r="I68" s="31" t="s">
        <v>277</v>
      </c>
    </row>
    <row r="69" customFormat="false" ht="15" hidden="false" customHeight="false" outlineLevel="0" collapsed="false">
      <c r="A69" s="4" t="s">
        <v>278</v>
      </c>
      <c r="B69" s="31" t="s">
        <v>279</v>
      </c>
      <c r="C69" s="4" t="s">
        <v>25</v>
      </c>
      <c r="D69" s="39" t="n">
        <v>0.05</v>
      </c>
      <c r="E69" s="39" t="n">
        <v>0.04</v>
      </c>
      <c r="F69" s="39" t="n">
        <v>0.03</v>
      </c>
      <c r="G69" s="40" t="n">
        <f aca="false">INDEX(D69:F69,$D$5)</f>
        <v>0.04</v>
      </c>
      <c r="H69" s="34" t="s">
        <v>109</v>
      </c>
      <c r="I69" s="31" t="s">
        <v>280</v>
      </c>
    </row>
    <row r="70" customFormat="false" ht="15" hidden="false" customHeight="false" outlineLevel="0" collapsed="false">
      <c r="A70" s="4" t="s">
        <v>281</v>
      </c>
      <c r="B70" s="31" t="s">
        <v>282</v>
      </c>
      <c r="C70" s="4" t="s">
        <v>283</v>
      </c>
      <c r="D70" s="46" t="n">
        <v>0.4414</v>
      </c>
      <c r="E70" s="46" t="n">
        <v>0.4414</v>
      </c>
      <c r="F70" s="46" t="n">
        <v>0.4414</v>
      </c>
      <c r="G70" s="47" t="n">
        <f aca="false">INDEX(D70:F70,$D$5)</f>
        <v>0.4414</v>
      </c>
      <c r="H70" s="34" t="s">
        <v>117</v>
      </c>
      <c r="I70" s="31" t="s">
        <v>284</v>
      </c>
    </row>
    <row r="71" customFormat="false" ht="23.85" hidden="false" customHeight="false" outlineLevel="0" collapsed="false">
      <c r="A71" s="4" t="s">
        <v>285</v>
      </c>
      <c r="B71" s="31" t="s">
        <v>286</v>
      </c>
      <c r="C71" s="4" t="s">
        <v>287</v>
      </c>
      <c r="D71" s="48" t="n">
        <v>3</v>
      </c>
      <c r="E71" s="48" t="n">
        <v>2</v>
      </c>
      <c r="F71" s="48" t="n">
        <v>1.5</v>
      </c>
      <c r="G71" s="49" t="n">
        <f aca="false">INDEX(D71:F71,$D$5)</f>
        <v>2</v>
      </c>
      <c r="H71" s="34" t="s">
        <v>109</v>
      </c>
      <c r="I71" s="31" t="s">
        <v>288</v>
      </c>
    </row>
    <row r="72" customFormat="false" ht="15" hidden="false" customHeight="false" outlineLevel="0" collapsed="false">
      <c r="A72" s="4" t="s">
        <v>289</v>
      </c>
      <c r="B72" s="31" t="s">
        <v>290</v>
      </c>
      <c r="C72" s="4" t="s">
        <v>46</v>
      </c>
      <c r="D72" s="35" t="n">
        <v>10000</v>
      </c>
      <c r="E72" s="35" t="n">
        <v>10000</v>
      </c>
      <c r="F72" s="35" t="n">
        <v>10000</v>
      </c>
      <c r="G72" s="36" t="n">
        <f aca="false">INDEX(D72:F72,$D$5)</f>
        <v>10000</v>
      </c>
      <c r="H72" s="34" t="s">
        <v>109</v>
      </c>
      <c r="I72" s="31" t="s">
        <v>291</v>
      </c>
    </row>
    <row r="73" customFormat="false" ht="15" hidden="false" customHeight="false" outlineLevel="0" collapsed="false">
      <c r="A73" s="7" t="s">
        <v>292</v>
      </c>
      <c r="B73" s="8"/>
      <c r="C73" s="8"/>
      <c r="D73" s="8"/>
      <c r="E73" s="8"/>
      <c r="F73" s="8"/>
      <c r="G73" s="8"/>
      <c r="H73" s="8"/>
      <c r="I73" s="8"/>
    </row>
    <row r="74" customFormat="false" ht="15" hidden="false" customHeight="false" outlineLevel="0" collapsed="false">
      <c r="A74" s="4" t="s">
        <v>293</v>
      </c>
      <c r="B74" s="31" t="s">
        <v>294</v>
      </c>
      <c r="C74" s="4" t="s">
        <v>20</v>
      </c>
      <c r="D74" s="35" t="n">
        <v>20</v>
      </c>
      <c r="E74" s="35" t="n">
        <v>20</v>
      </c>
      <c r="F74" s="35" t="n">
        <v>20</v>
      </c>
      <c r="G74" s="36" t="n">
        <f aca="false">INDEX(D74:F74,$D$5)</f>
        <v>20</v>
      </c>
      <c r="H74" s="34" t="s">
        <v>109</v>
      </c>
      <c r="I74" s="31" t="s">
        <v>295</v>
      </c>
    </row>
    <row r="75" customFormat="false" ht="15" hidden="false" customHeight="false" outlineLevel="0" collapsed="false">
      <c r="A75" s="4" t="s">
        <v>296</v>
      </c>
      <c r="B75" s="31" t="s">
        <v>297</v>
      </c>
      <c r="C75" s="4" t="s">
        <v>298</v>
      </c>
      <c r="D75" s="45" t="n">
        <v>10</v>
      </c>
      <c r="E75" s="45" t="n">
        <v>15</v>
      </c>
      <c r="F75" s="45" t="n">
        <v>25</v>
      </c>
      <c r="G75" s="36" t="n">
        <f aca="false">INDEX(D75:F75,$D$5)</f>
        <v>15</v>
      </c>
      <c r="H75" s="34" t="s">
        <v>109</v>
      </c>
      <c r="I75" s="31" t="s">
        <v>299</v>
      </c>
    </row>
    <row r="76" customFormat="false" ht="15" hidden="false" customHeight="false" outlineLevel="0" collapsed="false">
      <c r="A76" s="4" t="s">
        <v>300</v>
      </c>
      <c r="B76" s="31" t="s">
        <v>301</v>
      </c>
      <c r="C76" s="4" t="s">
        <v>302</v>
      </c>
      <c r="D76" s="39" t="n">
        <v>0.04</v>
      </c>
      <c r="E76" s="39" t="n">
        <v>0.08</v>
      </c>
      <c r="F76" s="39" t="n">
        <v>0.12</v>
      </c>
      <c r="G76" s="40" t="n">
        <f aca="false">INDEX(D76:F76,$D$5)</f>
        <v>0.08</v>
      </c>
      <c r="H76" s="34" t="s">
        <v>109</v>
      </c>
      <c r="I76" s="31"/>
    </row>
    <row r="77" customFormat="false" ht="15" hidden="false" customHeight="false" outlineLevel="0" collapsed="false">
      <c r="A77" s="4" t="s">
        <v>303</v>
      </c>
      <c r="B77" s="31" t="s">
        <v>304</v>
      </c>
      <c r="C77" s="4" t="s">
        <v>302</v>
      </c>
      <c r="D77" s="39" t="n">
        <v>0.05</v>
      </c>
      <c r="E77" s="39" t="n">
        <v>0.04</v>
      </c>
      <c r="F77" s="39" t="n">
        <v>0.03</v>
      </c>
      <c r="G77" s="40" t="n">
        <f aca="false">INDEX(D77:F77,$D$5)</f>
        <v>0.04</v>
      </c>
      <c r="H77" s="34" t="s">
        <v>109</v>
      </c>
      <c r="I77" s="31"/>
    </row>
    <row r="78" customFormat="false" ht="15" hidden="false" customHeight="false" outlineLevel="0" collapsed="false">
      <c r="A78" s="4" t="s">
        <v>305</v>
      </c>
      <c r="B78" s="31" t="s">
        <v>306</v>
      </c>
      <c r="C78" s="4" t="s">
        <v>25</v>
      </c>
      <c r="D78" s="39" t="n">
        <v>0.3</v>
      </c>
      <c r="E78" s="39" t="n">
        <v>0.35</v>
      </c>
      <c r="F78" s="39" t="n">
        <v>0.4</v>
      </c>
      <c r="G78" s="40" t="n">
        <f aca="false">INDEX(D78:F78,$D$5)</f>
        <v>0.35</v>
      </c>
      <c r="H78" s="34" t="s">
        <v>109</v>
      </c>
      <c r="I78" s="31" t="s">
        <v>307</v>
      </c>
    </row>
    <row r="79" customFormat="false" ht="15" hidden="false" customHeight="false" outlineLevel="0" collapsed="false">
      <c r="A79" s="4" t="s">
        <v>308</v>
      </c>
      <c r="B79" s="31" t="s">
        <v>309</v>
      </c>
      <c r="C79" s="4" t="s">
        <v>310</v>
      </c>
      <c r="D79" s="50" t="n">
        <v>2.5</v>
      </c>
      <c r="E79" s="50" t="n">
        <v>3</v>
      </c>
      <c r="F79" s="50" t="n">
        <v>4</v>
      </c>
      <c r="G79" s="49" t="n">
        <f aca="false">INDEX(D79:F79,$D$5)</f>
        <v>3</v>
      </c>
      <c r="H79" s="34" t="s">
        <v>109</v>
      </c>
      <c r="I79" s="31" t="s">
        <v>311</v>
      </c>
    </row>
    <row r="80" customFormat="false" ht="15" hidden="false" customHeight="false" outlineLevel="0" collapsed="false">
      <c r="A80" s="7" t="s">
        <v>312</v>
      </c>
      <c r="B80" s="8"/>
      <c r="C80" s="8"/>
      <c r="D80" s="8"/>
      <c r="E80" s="8"/>
      <c r="F80" s="8"/>
      <c r="G80" s="8"/>
      <c r="H80" s="8"/>
      <c r="I80" s="8"/>
    </row>
    <row r="81" customFormat="false" ht="15" hidden="false" customHeight="false" outlineLevel="0" collapsed="false">
      <c r="A81" s="4" t="s">
        <v>313</v>
      </c>
      <c r="B81" s="31" t="s">
        <v>314</v>
      </c>
      <c r="C81" s="4" t="s">
        <v>20</v>
      </c>
      <c r="D81" s="35" t="n">
        <v>50</v>
      </c>
      <c r="E81" s="35" t="n">
        <v>50</v>
      </c>
      <c r="F81" s="35" t="n">
        <v>50</v>
      </c>
      <c r="G81" s="36" t="n">
        <f aca="false">INDEX(D81:F81,$D$5)</f>
        <v>50</v>
      </c>
      <c r="H81" s="34" t="s">
        <v>109</v>
      </c>
      <c r="I81" s="31" t="s">
        <v>315</v>
      </c>
    </row>
    <row r="82" customFormat="false" ht="15" hidden="false" customHeight="false" outlineLevel="0" collapsed="false">
      <c r="A82" s="4" t="s">
        <v>316</v>
      </c>
      <c r="B82" s="31" t="s">
        <v>317</v>
      </c>
      <c r="C82" s="4" t="s">
        <v>298</v>
      </c>
      <c r="D82" s="45" t="n">
        <v>20</v>
      </c>
      <c r="E82" s="45" t="n">
        <v>30</v>
      </c>
      <c r="F82" s="45" t="n">
        <v>40</v>
      </c>
      <c r="G82" s="36" t="n">
        <f aca="false">INDEX(D82:F82,$D$5)</f>
        <v>30</v>
      </c>
      <c r="H82" s="34" t="s">
        <v>109</v>
      </c>
      <c r="I82" s="31" t="s">
        <v>318</v>
      </c>
    </row>
    <row r="83" customFormat="false" ht="23.85" hidden="false" customHeight="false" outlineLevel="0" collapsed="false">
      <c r="A83" s="4" t="s">
        <v>319</v>
      </c>
      <c r="B83" s="31" t="s">
        <v>320</v>
      </c>
      <c r="C83" s="4" t="s">
        <v>302</v>
      </c>
      <c r="D83" s="39" t="n">
        <v>0.05</v>
      </c>
      <c r="E83" s="39" t="n">
        <v>0.08</v>
      </c>
      <c r="F83" s="39" t="n">
        <v>0.11</v>
      </c>
      <c r="G83" s="40" t="n">
        <f aca="false">INDEX(D83:F83,$D$5)</f>
        <v>0.08</v>
      </c>
      <c r="H83" s="34" t="s">
        <v>109</v>
      </c>
      <c r="I83" s="31"/>
    </row>
    <row r="84" customFormat="false" ht="15" hidden="false" customHeight="false" outlineLevel="0" collapsed="false">
      <c r="A84" s="4" t="s">
        <v>321</v>
      </c>
      <c r="B84" s="31" t="s">
        <v>322</v>
      </c>
      <c r="C84" s="4" t="s">
        <v>323</v>
      </c>
      <c r="D84" s="35" t="n">
        <v>5000000</v>
      </c>
      <c r="E84" s="35" t="n">
        <v>5000000</v>
      </c>
      <c r="F84" s="35" t="n">
        <v>5000000</v>
      </c>
      <c r="G84" s="36" t="n">
        <f aca="false">INDEX(D84:F84,$D$5)</f>
        <v>5000000</v>
      </c>
      <c r="H84" s="34" t="s">
        <v>324</v>
      </c>
      <c r="I84" s="31" t="s">
        <v>325</v>
      </c>
    </row>
    <row r="85" customFormat="false" ht="15" hidden="false" customHeight="false" outlineLevel="0" collapsed="false">
      <c r="A85" s="4" t="s">
        <v>326</v>
      </c>
      <c r="B85" s="31" t="s">
        <v>327</v>
      </c>
      <c r="C85" s="4" t="s">
        <v>323</v>
      </c>
      <c r="D85" s="35" t="n">
        <v>25000000</v>
      </c>
      <c r="E85" s="35" t="n">
        <v>25000000</v>
      </c>
      <c r="F85" s="35" t="n">
        <v>25000000</v>
      </c>
      <c r="G85" s="36" t="n">
        <f aca="false">INDEX(D85:F85,$D$5)</f>
        <v>25000000</v>
      </c>
      <c r="H85" s="34" t="s">
        <v>324</v>
      </c>
      <c r="I85" s="31" t="s">
        <v>328</v>
      </c>
    </row>
    <row r="86" customFormat="false" ht="15" hidden="false" customHeight="false" outlineLevel="0" collapsed="false">
      <c r="A86" s="4" t="s">
        <v>329</v>
      </c>
      <c r="B86" s="31" t="s">
        <v>330</v>
      </c>
      <c r="C86" s="4" t="s">
        <v>323</v>
      </c>
      <c r="D86" s="35" t="n">
        <v>35000000</v>
      </c>
      <c r="E86" s="35" t="n">
        <v>35000000</v>
      </c>
      <c r="F86" s="35" t="n">
        <v>35000000</v>
      </c>
      <c r="G86" s="36" t="n">
        <f aca="false">INDEX(D86:F86,$D$5)</f>
        <v>35000000</v>
      </c>
      <c r="H86" s="34" t="s">
        <v>109</v>
      </c>
      <c r="I86" s="31" t="s">
        <v>331</v>
      </c>
    </row>
    <row r="87" customFormat="false" ht="23.85" hidden="false" customHeight="false" outlineLevel="0" collapsed="false">
      <c r="A87" s="4" t="s">
        <v>332</v>
      </c>
      <c r="B87" s="31" t="s">
        <v>333</v>
      </c>
      <c r="C87" s="4" t="s">
        <v>46</v>
      </c>
      <c r="D87" s="45" t="n">
        <v>350000</v>
      </c>
      <c r="E87" s="45" t="n">
        <v>250000</v>
      </c>
      <c r="F87" s="45" t="n">
        <v>180000</v>
      </c>
      <c r="G87" s="36" t="n">
        <f aca="false">INDEX(D87:F87,$D$5)</f>
        <v>250000</v>
      </c>
      <c r="H87" s="34" t="s">
        <v>109</v>
      </c>
      <c r="I87" s="31" t="s">
        <v>334</v>
      </c>
    </row>
    <row r="88" customFormat="false" ht="15" hidden="false" customHeight="false" outlineLevel="0" collapsed="false">
      <c r="A88" s="4" t="s">
        <v>335</v>
      </c>
      <c r="B88" s="31" t="s">
        <v>336</v>
      </c>
      <c r="C88" s="4" t="s">
        <v>302</v>
      </c>
      <c r="D88" s="39" t="n">
        <v>0.1</v>
      </c>
      <c r="E88" s="39" t="n">
        <v>0.08</v>
      </c>
      <c r="F88" s="39" t="n">
        <v>0.06</v>
      </c>
      <c r="G88" s="40" t="n">
        <f aca="false">INDEX(D88:F88,$D$5)</f>
        <v>0.08</v>
      </c>
      <c r="H88" s="34" t="s">
        <v>109</v>
      </c>
      <c r="I88" s="31"/>
    </row>
    <row r="89" customFormat="false" ht="15" hidden="false" customHeight="false" outlineLevel="0" collapsed="false">
      <c r="A89" s="4" t="s">
        <v>337</v>
      </c>
      <c r="B89" s="31" t="s">
        <v>338</v>
      </c>
      <c r="C89" s="4" t="s">
        <v>302</v>
      </c>
      <c r="D89" s="39" t="n">
        <v>0.08</v>
      </c>
      <c r="E89" s="39" t="n">
        <v>0.1</v>
      </c>
      <c r="F89" s="39" t="n">
        <v>0.12</v>
      </c>
      <c r="G89" s="40" t="n">
        <f aca="false">INDEX(D89:F89,$D$5)</f>
        <v>0.1</v>
      </c>
      <c r="H89" s="34" t="s">
        <v>109</v>
      </c>
      <c r="I89" s="31" t="s">
        <v>339</v>
      </c>
    </row>
    <row r="90" customFormat="false" ht="15" hidden="false" customHeight="false" outlineLevel="0" collapsed="false">
      <c r="A90" s="7" t="s">
        <v>340</v>
      </c>
      <c r="B90" s="8"/>
      <c r="C90" s="8"/>
      <c r="D90" s="8"/>
      <c r="E90" s="8"/>
      <c r="F90" s="8"/>
      <c r="G90" s="8"/>
      <c r="H90" s="8"/>
      <c r="I90" s="8"/>
    </row>
    <row r="91" customFormat="false" ht="15" hidden="false" customHeight="false" outlineLevel="0" collapsed="false">
      <c r="A91" s="4" t="s">
        <v>341</v>
      </c>
      <c r="B91" s="31" t="s">
        <v>342</v>
      </c>
      <c r="C91" s="4" t="s">
        <v>46</v>
      </c>
      <c r="D91" s="35" t="n">
        <v>25000</v>
      </c>
      <c r="E91" s="35" t="n">
        <v>25000</v>
      </c>
      <c r="F91" s="35" t="n">
        <v>25000</v>
      </c>
      <c r="G91" s="36" t="n">
        <f aca="false">INDEX(D91:F91,$D$5)</f>
        <v>25000</v>
      </c>
      <c r="H91" s="34" t="s">
        <v>117</v>
      </c>
      <c r="I91" s="31" t="s">
        <v>343</v>
      </c>
    </row>
    <row r="92" customFormat="false" ht="15" hidden="false" customHeight="false" outlineLevel="0" collapsed="false">
      <c r="A92" s="4" t="s">
        <v>344</v>
      </c>
      <c r="B92" s="31" t="s">
        <v>345</v>
      </c>
      <c r="C92" s="4" t="s">
        <v>46</v>
      </c>
      <c r="D92" s="35" t="n">
        <v>25000</v>
      </c>
      <c r="E92" s="35" t="n">
        <v>25000</v>
      </c>
      <c r="F92" s="35" t="n">
        <v>25000</v>
      </c>
      <c r="G92" s="36" t="n">
        <f aca="false">INDEX(D92:F92,$D$5)</f>
        <v>25000</v>
      </c>
      <c r="H92" s="34" t="s">
        <v>117</v>
      </c>
      <c r="I92" s="31" t="s">
        <v>346</v>
      </c>
    </row>
    <row r="93" customFormat="false" ht="15" hidden="false" customHeight="false" outlineLevel="0" collapsed="false">
      <c r="A93" s="4" t="s">
        <v>347</v>
      </c>
      <c r="B93" s="31" t="s">
        <v>348</v>
      </c>
      <c r="C93" s="4" t="s">
        <v>46</v>
      </c>
      <c r="D93" s="35" t="n">
        <v>500000</v>
      </c>
      <c r="E93" s="35" t="n">
        <v>500000</v>
      </c>
      <c r="F93" s="35" t="n">
        <v>500000</v>
      </c>
      <c r="G93" s="36" t="n">
        <f aca="false">INDEX(D93:F93,$D$5)</f>
        <v>500000</v>
      </c>
      <c r="H93" s="34" t="s">
        <v>117</v>
      </c>
      <c r="I93" s="31" t="s">
        <v>349</v>
      </c>
    </row>
    <row r="94" customFormat="false" ht="15" hidden="false" customHeight="false" outlineLevel="0" collapsed="false">
      <c r="A94" s="4" t="s">
        <v>350</v>
      </c>
      <c r="B94" s="31" t="s">
        <v>351</v>
      </c>
      <c r="C94" s="4" t="s">
        <v>46</v>
      </c>
      <c r="D94" s="35" t="n">
        <v>250000</v>
      </c>
      <c r="E94" s="35" t="n">
        <v>250000</v>
      </c>
      <c r="F94" s="35" t="n">
        <v>250000</v>
      </c>
      <c r="G94" s="36" t="n">
        <f aca="false">INDEX(D94:F94,$D$5)</f>
        <v>250000</v>
      </c>
      <c r="H94" s="34" t="s">
        <v>117</v>
      </c>
      <c r="I94" s="31" t="s">
        <v>352</v>
      </c>
    </row>
    <row r="95" customFormat="false" ht="15" hidden="false" customHeight="false" outlineLevel="0" collapsed="false">
      <c r="A95" s="4" t="s">
        <v>353</v>
      </c>
      <c r="B95" s="31" t="s">
        <v>354</v>
      </c>
      <c r="C95" s="4" t="s">
        <v>25</v>
      </c>
      <c r="D95" s="39" t="n">
        <v>0.015</v>
      </c>
      <c r="E95" s="39" t="n">
        <v>0.025</v>
      </c>
      <c r="F95" s="39" t="n">
        <v>0.035</v>
      </c>
      <c r="G95" s="40" t="n">
        <f aca="false">INDEX(D95:F95,$D$5)</f>
        <v>0.025</v>
      </c>
      <c r="H95" s="34" t="s">
        <v>109</v>
      </c>
      <c r="I95" s="31"/>
    </row>
    <row r="96" customFormat="false" ht="23.85" hidden="false" customHeight="false" outlineLevel="0" collapsed="false">
      <c r="A96" s="4" t="s">
        <v>355</v>
      </c>
      <c r="B96" s="31" t="s">
        <v>356</v>
      </c>
      <c r="C96" s="4" t="s">
        <v>25</v>
      </c>
      <c r="D96" s="39" t="n">
        <v>0.65</v>
      </c>
      <c r="E96" s="39" t="n">
        <v>0.75</v>
      </c>
      <c r="F96" s="39" t="n">
        <v>0.8</v>
      </c>
      <c r="G96" s="40" t="n">
        <f aca="false">INDEX(D96:F96,$D$5)</f>
        <v>0.75</v>
      </c>
      <c r="H96" s="34" t="s">
        <v>109</v>
      </c>
      <c r="I96" s="31" t="s">
        <v>357</v>
      </c>
    </row>
    <row r="97" customFormat="false" ht="15" hidden="false" customHeight="false" outlineLevel="0" collapsed="false">
      <c r="A97" s="4" t="s">
        <v>358</v>
      </c>
      <c r="B97" s="31" t="s">
        <v>359</v>
      </c>
      <c r="C97" s="4" t="s">
        <v>25</v>
      </c>
      <c r="D97" s="39" t="n">
        <v>0.7</v>
      </c>
      <c r="E97" s="39" t="n">
        <v>0.7</v>
      </c>
      <c r="F97" s="39" t="n">
        <v>0.7</v>
      </c>
      <c r="G97" s="40" t="n">
        <f aca="false">INDEX(D97:F97,$D$5)</f>
        <v>0.7</v>
      </c>
      <c r="H97" s="34" t="s">
        <v>109</v>
      </c>
      <c r="I97" s="31" t="s">
        <v>360</v>
      </c>
    </row>
    <row r="98" customFormat="false" ht="15" hidden="false" customHeight="false" outlineLevel="0" collapsed="false">
      <c r="A98" s="4" t="s">
        <v>361</v>
      </c>
      <c r="B98" s="31" t="s">
        <v>362</v>
      </c>
      <c r="C98" s="4" t="s">
        <v>363</v>
      </c>
      <c r="D98" s="48" t="n">
        <v>1.2</v>
      </c>
      <c r="E98" s="48" t="n">
        <v>1.2</v>
      </c>
      <c r="F98" s="48" t="n">
        <v>1.2</v>
      </c>
      <c r="G98" s="49" t="n">
        <f aca="false">INDEX(D98:F98,$D$5)</f>
        <v>1.2</v>
      </c>
      <c r="H98" s="34" t="s">
        <v>109</v>
      </c>
      <c r="I98" s="31" t="s">
        <v>364</v>
      </c>
    </row>
    <row r="99" customFormat="false" ht="15" hidden="false" customHeight="false" outlineLevel="0" collapsed="false">
      <c r="A99" s="4" t="s">
        <v>365</v>
      </c>
      <c r="B99" s="31" t="s">
        <v>366</v>
      </c>
      <c r="C99" s="4" t="s">
        <v>46</v>
      </c>
      <c r="D99" s="35" t="n">
        <v>50000</v>
      </c>
      <c r="E99" s="35" t="n">
        <v>50000</v>
      </c>
      <c r="F99" s="35" t="n">
        <v>50000</v>
      </c>
      <c r="G99" s="36" t="n">
        <f aca="false">INDEX(D99:F99,$D$5)</f>
        <v>50000</v>
      </c>
      <c r="H99" s="34" t="s">
        <v>117</v>
      </c>
      <c r="I99" s="31" t="s">
        <v>367</v>
      </c>
    </row>
    <row r="100" customFormat="false" ht="15" hidden="false" customHeight="false" outlineLevel="0" collapsed="false">
      <c r="A100" s="4" t="s">
        <v>368</v>
      </c>
      <c r="B100" s="31" t="s">
        <v>369</v>
      </c>
      <c r="C100" s="4" t="s">
        <v>25</v>
      </c>
      <c r="D100" s="39" t="n">
        <v>0.2</v>
      </c>
      <c r="E100" s="39" t="n">
        <v>0.3</v>
      </c>
      <c r="F100" s="39" t="n">
        <v>0.4</v>
      </c>
      <c r="G100" s="40" t="n">
        <f aca="false">INDEX(D100:F100,$D$5)</f>
        <v>0.3</v>
      </c>
      <c r="H100" s="34" t="s">
        <v>109</v>
      </c>
      <c r="I100" s="31"/>
    </row>
    <row r="101" customFormat="false" ht="15" hidden="false" customHeight="false" outlineLevel="0" collapsed="false">
      <c r="A101" s="4" t="s">
        <v>370</v>
      </c>
      <c r="B101" s="31" t="s">
        <v>371</v>
      </c>
      <c r="C101" s="4" t="s">
        <v>25</v>
      </c>
      <c r="D101" s="39" t="n">
        <v>0.6</v>
      </c>
      <c r="E101" s="39" t="n">
        <v>0.6</v>
      </c>
      <c r="F101" s="39" t="n">
        <v>0.6</v>
      </c>
      <c r="G101" s="40" t="n">
        <f aca="false">INDEX(D101:F101,$D$5)</f>
        <v>0.6</v>
      </c>
      <c r="H101" s="34" t="s">
        <v>109</v>
      </c>
      <c r="I101" s="31" t="s">
        <v>372</v>
      </c>
    </row>
    <row r="102" customFormat="false" ht="15" hidden="false" customHeight="false" outlineLevel="0" collapsed="false">
      <c r="A102" s="4" t="s">
        <v>373</v>
      </c>
      <c r="B102" s="31" t="s">
        <v>374</v>
      </c>
      <c r="C102" s="4" t="s">
        <v>25</v>
      </c>
      <c r="D102" s="39" t="n">
        <v>0.5</v>
      </c>
      <c r="E102" s="39" t="n">
        <v>0.5</v>
      </c>
      <c r="F102" s="39" t="n">
        <v>0.5</v>
      </c>
      <c r="G102" s="40" t="n">
        <f aca="false">INDEX(D102:F102,$D$5)</f>
        <v>0.5</v>
      </c>
      <c r="H102" s="34" t="s">
        <v>109</v>
      </c>
      <c r="I102" s="31" t="s">
        <v>375</v>
      </c>
    </row>
    <row r="103" customFormat="false" ht="23.85" hidden="false" customHeight="false" outlineLevel="0" collapsed="false">
      <c r="A103" s="4" t="s">
        <v>376</v>
      </c>
      <c r="B103" s="31" t="s">
        <v>377</v>
      </c>
      <c r="C103" s="4" t="s">
        <v>151</v>
      </c>
      <c r="D103" s="43" t="n">
        <v>0</v>
      </c>
      <c r="E103" s="43" t="n">
        <v>0</v>
      </c>
      <c r="F103" s="43" t="n">
        <v>0</v>
      </c>
      <c r="G103" s="44" t="n">
        <f aca="false">INDEX(D103:F103,$D$5)</f>
        <v>0</v>
      </c>
      <c r="H103" s="34" t="s">
        <v>324</v>
      </c>
      <c r="I103" s="31" t="s">
        <v>378</v>
      </c>
    </row>
    <row r="104" customFormat="false" ht="15" hidden="false" customHeight="false" outlineLevel="0" collapsed="false">
      <c r="A104" s="4" t="s">
        <v>379</v>
      </c>
      <c r="B104" s="31" t="s">
        <v>380</v>
      </c>
      <c r="C104" s="4" t="s">
        <v>323</v>
      </c>
      <c r="D104" s="35" t="n">
        <v>2000000</v>
      </c>
      <c r="E104" s="35" t="n">
        <v>2000000</v>
      </c>
      <c r="F104" s="35" t="n">
        <v>4000000</v>
      </c>
      <c r="G104" s="36" t="n">
        <f aca="false">INDEX(D104:F104,$D$5)</f>
        <v>2000000</v>
      </c>
      <c r="H104" s="34" t="s">
        <v>324</v>
      </c>
      <c r="I104" s="31" t="s">
        <v>381</v>
      </c>
    </row>
    <row r="105" customFormat="false" ht="15" hidden="false" customHeight="false" outlineLevel="0" collapsed="false">
      <c r="A105" s="4" t="s">
        <v>382</v>
      </c>
      <c r="B105" s="31" t="s">
        <v>383</v>
      </c>
      <c r="C105" s="4" t="s">
        <v>384</v>
      </c>
      <c r="D105" s="51" t="n">
        <v>0.33</v>
      </c>
      <c r="E105" s="51" t="n">
        <v>0.33</v>
      </c>
      <c r="F105" s="51" t="n">
        <v>0.33</v>
      </c>
      <c r="G105" s="52" t="n">
        <f aca="false">INDEX(D105:F105,$D$5)</f>
        <v>0.33</v>
      </c>
      <c r="H105" s="34" t="s">
        <v>117</v>
      </c>
      <c r="I105" s="31" t="s">
        <v>385</v>
      </c>
    </row>
    <row r="106" customFormat="false" ht="15" hidden="false" customHeight="false" outlineLevel="0" collapsed="false">
      <c r="A106" s="4" t="s">
        <v>386</v>
      </c>
      <c r="B106" s="31" t="s">
        <v>387</v>
      </c>
      <c r="C106" s="4" t="s">
        <v>28</v>
      </c>
      <c r="D106" s="34" t="str">
        <f aca="false">IF(D98*D91&lt;=D94,"OK","MELEBIHI")</f>
        <v>OK</v>
      </c>
      <c r="E106" s="34" t="str">
        <f aca="false">IF(E98*E91&lt;=E94,"OK","MELEBIHI")</f>
        <v>OK</v>
      </c>
      <c r="F106" s="34" t="str">
        <f aca="false">IF(F98*F91&lt;=F94,"OK","MELEBIHI")</f>
        <v>OK</v>
      </c>
      <c r="G106" s="4" t="str">
        <f aca="false">INDEX(D106:F106,$D$5)</f>
        <v>OK</v>
      </c>
      <c r="H106" s="34" t="s">
        <v>243</v>
      </c>
      <c r="I106" s="31" t="s">
        <v>388</v>
      </c>
    </row>
    <row r="107" customFormat="false" ht="15" hidden="false" customHeight="false" outlineLevel="0" collapsed="false">
      <c r="A107" s="7" t="s">
        <v>389</v>
      </c>
      <c r="B107" s="8"/>
      <c r="C107" s="8"/>
      <c r="D107" s="8"/>
      <c r="E107" s="8"/>
      <c r="F107" s="8"/>
      <c r="G107" s="8"/>
      <c r="H107" s="8"/>
      <c r="I107" s="8"/>
    </row>
    <row r="108" customFormat="false" ht="35.05" hidden="false" customHeight="false" outlineLevel="0" collapsed="false">
      <c r="A108" s="4" t="s">
        <v>390</v>
      </c>
      <c r="B108" s="31" t="s">
        <v>391</v>
      </c>
      <c r="C108" s="4" t="s">
        <v>392</v>
      </c>
      <c r="D108" s="35" t="n">
        <v>30</v>
      </c>
      <c r="E108" s="35" t="n">
        <v>30</v>
      </c>
      <c r="F108" s="35" t="n">
        <v>30</v>
      </c>
      <c r="G108" s="36" t="n">
        <f aca="false">INDEX(D108:F108,$D$5)</f>
        <v>30</v>
      </c>
      <c r="H108" s="34" t="s">
        <v>117</v>
      </c>
      <c r="I108" s="31" t="s">
        <v>393</v>
      </c>
    </row>
    <row r="109" customFormat="false" ht="15" hidden="false" customHeight="false" outlineLevel="0" collapsed="false">
      <c r="A109" s="4" t="s">
        <v>394</v>
      </c>
      <c r="B109" s="31" t="s">
        <v>395</v>
      </c>
      <c r="C109" s="4" t="s">
        <v>392</v>
      </c>
      <c r="D109" s="35" t="n">
        <v>35</v>
      </c>
      <c r="E109" s="35" t="n">
        <v>35</v>
      </c>
      <c r="F109" s="35" t="n">
        <v>35</v>
      </c>
      <c r="G109" s="36" t="n">
        <f aca="false">INDEX(D109:F109,$D$5)</f>
        <v>35</v>
      </c>
      <c r="H109" s="34" t="s">
        <v>117</v>
      </c>
      <c r="I109" s="31" t="s">
        <v>396</v>
      </c>
    </row>
    <row r="110" customFormat="false" ht="15" hidden="false" customHeight="false" outlineLevel="0" collapsed="false">
      <c r="A110" s="4" t="s">
        <v>397</v>
      </c>
      <c r="B110" s="31" t="s">
        <v>398</v>
      </c>
      <c r="C110" s="4" t="s">
        <v>12</v>
      </c>
      <c r="D110" s="35" t="n">
        <v>1500</v>
      </c>
      <c r="E110" s="35" t="n">
        <v>1500</v>
      </c>
      <c r="F110" s="35" t="n">
        <v>1500</v>
      </c>
      <c r="G110" s="36" t="n">
        <f aca="false">INDEX(D110:F110,$D$5)</f>
        <v>1500</v>
      </c>
      <c r="H110" s="34" t="s">
        <v>109</v>
      </c>
      <c r="I110" s="31" t="s">
        <v>399</v>
      </c>
    </row>
    <row r="111" customFormat="false" ht="15" hidden="false" customHeight="false" outlineLevel="0" collapsed="false">
      <c r="A111" s="4" t="s">
        <v>400</v>
      </c>
      <c r="B111" s="31" t="s">
        <v>401</v>
      </c>
      <c r="C111" s="4" t="s">
        <v>392</v>
      </c>
      <c r="D111" s="35" t="n">
        <v>400</v>
      </c>
      <c r="E111" s="35" t="n">
        <v>400</v>
      </c>
      <c r="F111" s="35" t="n">
        <v>400</v>
      </c>
      <c r="G111" s="36" t="n">
        <f aca="false">INDEX(D111:F111,$D$5)</f>
        <v>400</v>
      </c>
      <c r="H111" s="34" t="s">
        <v>109</v>
      </c>
      <c r="I111" s="31" t="s">
        <v>402</v>
      </c>
    </row>
    <row r="112" customFormat="false" ht="15" hidden="false" customHeight="false" outlineLevel="0" collapsed="false">
      <c r="A112" s="4" t="s">
        <v>403</v>
      </c>
      <c r="B112" s="31" t="s">
        <v>404</v>
      </c>
      <c r="C112" s="4" t="s">
        <v>12</v>
      </c>
      <c r="D112" s="35" t="n">
        <v>15000</v>
      </c>
      <c r="E112" s="35" t="n">
        <v>15000</v>
      </c>
      <c r="F112" s="35" t="n">
        <v>15000</v>
      </c>
      <c r="G112" s="36" t="n">
        <f aca="false">INDEX(D112:F112,$D$5)</f>
        <v>15000</v>
      </c>
      <c r="H112" s="34" t="s">
        <v>109</v>
      </c>
      <c r="I112" s="31" t="s">
        <v>405</v>
      </c>
    </row>
    <row r="113" customFormat="false" ht="23.85" hidden="false" customHeight="false" outlineLevel="0" collapsed="false">
      <c r="A113" s="4" t="s">
        <v>406</v>
      </c>
      <c r="B113" s="31" t="s">
        <v>407</v>
      </c>
      <c r="C113" s="4" t="s">
        <v>323</v>
      </c>
      <c r="D113" s="35" t="n">
        <v>2000000</v>
      </c>
      <c r="E113" s="35" t="n">
        <v>2000000</v>
      </c>
      <c r="F113" s="35" t="n">
        <v>2000000</v>
      </c>
      <c r="G113" s="36" t="n">
        <f aca="false">INDEX(D113:F113,$D$5)</f>
        <v>2000000</v>
      </c>
      <c r="H113" s="34" t="s">
        <v>109</v>
      </c>
      <c r="I113" s="31" t="s">
        <v>408</v>
      </c>
    </row>
    <row r="114" customFormat="false" ht="23.85" hidden="false" customHeight="false" outlineLevel="0" collapsed="false">
      <c r="A114" s="4" t="s">
        <v>409</v>
      </c>
      <c r="B114" s="31" t="s">
        <v>410</v>
      </c>
      <c r="C114" s="4" t="s">
        <v>323</v>
      </c>
      <c r="D114" s="45" t="n">
        <v>60000000</v>
      </c>
      <c r="E114" s="45" t="n">
        <v>60000000</v>
      </c>
      <c r="F114" s="45" t="n">
        <v>60000000</v>
      </c>
      <c r="G114" s="36" t="n">
        <f aca="false">INDEX(D114:F114,$D$5)</f>
        <v>60000000</v>
      </c>
      <c r="H114" s="34" t="s">
        <v>109</v>
      </c>
      <c r="I114" s="31" t="s">
        <v>411</v>
      </c>
    </row>
    <row r="115" customFormat="false" ht="15" hidden="false" customHeight="false" outlineLevel="0" collapsed="false">
      <c r="A115" s="4" t="s">
        <v>412</v>
      </c>
      <c r="B115" s="31" t="s">
        <v>413</v>
      </c>
      <c r="C115" s="4" t="s">
        <v>323</v>
      </c>
      <c r="D115" s="45" t="n">
        <v>85000000</v>
      </c>
      <c r="E115" s="45" t="n">
        <v>85000000</v>
      </c>
      <c r="F115" s="45" t="n">
        <v>85000000</v>
      </c>
      <c r="G115" s="36" t="n">
        <f aca="false">INDEX(D115:F115,$D$5)</f>
        <v>85000000</v>
      </c>
      <c r="H115" s="34" t="s">
        <v>109</v>
      </c>
      <c r="I115" s="31" t="s">
        <v>414</v>
      </c>
    </row>
    <row r="116" customFormat="false" ht="15" hidden="false" customHeight="false" outlineLevel="0" collapsed="false">
      <c r="A116" s="4" t="s">
        <v>415</v>
      </c>
      <c r="B116" s="31" t="s">
        <v>416</v>
      </c>
      <c r="C116" s="4" t="s">
        <v>417</v>
      </c>
      <c r="D116" s="39" t="n">
        <v>0.2</v>
      </c>
      <c r="E116" s="39" t="n">
        <v>0.2</v>
      </c>
      <c r="F116" s="39" t="n">
        <v>0.2</v>
      </c>
      <c r="G116" s="40" t="n">
        <f aca="false">INDEX(D116:F116,$D$5)</f>
        <v>0.2</v>
      </c>
      <c r="H116" s="34" t="s">
        <v>109</v>
      </c>
      <c r="I116" s="31"/>
    </row>
    <row r="117" customFormat="false" ht="15" hidden="false" customHeight="false" outlineLevel="0" collapsed="false">
      <c r="A117" s="4" t="s">
        <v>418</v>
      </c>
      <c r="B117" s="31" t="s">
        <v>419</v>
      </c>
      <c r="C117" s="4" t="s">
        <v>323</v>
      </c>
      <c r="D117" s="35" t="n">
        <v>10000000</v>
      </c>
      <c r="E117" s="35" t="n">
        <v>10000000</v>
      </c>
      <c r="F117" s="35" t="n">
        <v>10000000</v>
      </c>
      <c r="G117" s="36" t="n">
        <f aca="false">INDEX(D117:F117,$D$5)</f>
        <v>10000000</v>
      </c>
      <c r="H117" s="34" t="s">
        <v>109</v>
      </c>
      <c r="I117" s="31" t="s">
        <v>420</v>
      </c>
    </row>
    <row r="118" customFormat="false" ht="15" hidden="false" customHeight="false" outlineLevel="0" collapsed="false">
      <c r="A118" s="4" t="s">
        <v>421</v>
      </c>
      <c r="B118" s="31" t="s">
        <v>422</v>
      </c>
      <c r="C118" s="4" t="s">
        <v>323</v>
      </c>
      <c r="D118" s="35" t="n">
        <v>2500000</v>
      </c>
      <c r="E118" s="35" t="n">
        <v>2500000</v>
      </c>
      <c r="F118" s="35" t="n">
        <v>2500000</v>
      </c>
      <c r="G118" s="36" t="n">
        <f aca="false">INDEX(D118:F118,$D$5)</f>
        <v>2500000</v>
      </c>
      <c r="H118" s="34" t="s">
        <v>109</v>
      </c>
      <c r="I118" s="31"/>
    </row>
    <row r="119" customFormat="false" ht="15" hidden="false" customHeight="false" outlineLevel="0" collapsed="false">
      <c r="A119" s="4" t="s">
        <v>423</v>
      </c>
      <c r="B119" s="31" t="s">
        <v>424</v>
      </c>
      <c r="C119" s="4" t="s">
        <v>25</v>
      </c>
      <c r="D119" s="39" t="n">
        <v>0.1</v>
      </c>
      <c r="E119" s="39" t="n">
        <v>0.1</v>
      </c>
      <c r="F119" s="39" t="n">
        <v>0.1</v>
      </c>
      <c r="G119" s="40" t="n">
        <f aca="false">INDEX(D119:F119,$D$5)</f>
        <v>0.1</v>
      </c>
      <c r="H119" s="34" t="s">
        <v>109</v>
      </c>
      <c r="I119" s="31"/>
    </row>
    <row r="120" customFormat="false" ht="15" hidden="false" customHeight="false" outlineLevel="0" collapsed="false">
      <c r="A120" s="4" t="s">
        <v>425</v>
      </c>
      <c r="B120" s="31" t="s">
        <v>426</v>
      </c>
      <c r="C120" s="4" t="s">
        <v>225</v>
      </c>
      <c r="D120" s="35" t="n">
        <v>25</v>
      </c>
      <c r="E120" s="35" t="n">
        <v>25</v>
      </c>
      <c r="F120" s="35" t="n">
        <v>25</v>
      </c>
      <c r="G120" s="36" t="n">
        <f aca="false">INDEX(D120:F120,$D$5)</f>
        <v>25</v>
      </c>
      <c r="H120" s="34" t="s">
        <v>117</v>
      </c>
      <c r="I120" s="31" t="s">
        <v>427</v>
      </c>
    </row>
    <row r="121" customFormat="false" ht="15" hidden="false" customHeight="false" outlineLevel="0" collapsed="false">
      <c r="A121" s="4" t="s">
        <v>428</v>
      </c>
      <c r="B121" s="31" t="s">
        <v>429</v>
      </c>
      <c r="C121" s="4" t="s">
        <v>430</v>
      </c>
      <c r="D121" s="35" t="n">
        <v>99</v>
      </c>
      <c r="E121" s="35" t="n">
        <v>99</v>
      </c>
      <c r="F121" s="35" t="n">
        <v>99</v>
      </c>
      <c r="G121" s="36" t="n">
        <f aca="false">INDEX(D121:F121,$D$5)</f>
        <v>99</v>
      </c>
      <c r="H121" s="34" t="s">
        <v>117</v>
      </c>
      <c r="I121" s="31" t="s">
        <v>431</v>
      </c>
    </row>
    <row r="122" customFormat="false" ht="15" hidden="false" customHeight="false" outlineLevel="0" collapsed="false">
      <c r="A122" s="7" t="s">
        <v>432</v>
      </c>
      <c r="B122" s="8"/>
      <c r="C122" s="8"/>
      <c r="D122" s="8"/>
      <c r="E122" s="8"/>
      <c r="F122" s="8"/>
      <c r="G122" s="8"/>
      <c r="H122" s="8"/>
      <c r="I122" s="8"/>
    </row>
    <row r="123" customFormat="false" ht="15" hidden="false" customHeight="false" outlineLevel="0" collapsed="false">
      <c r="A123" s="4" t="s">
        <v>433</v>
      </c>
      <c r="B123" s="31" t="s">
        <v>434</v>
      </c>
      <c r="C123" s="4" t="s">
        <v>46</v>
      </c>
      <c r="D123" s="35" t="n">
        <v>15000000</v>
      </c>
      <c r="E123" s="35" t="n">
        <v>15000000</v>
      </c>
      <c r="F123" s="35" t="n">
        <v>15000000</v>
      </c>
      <c r="G123" s="36" t="n">
        <f aca="false">INDEX(D123:F123,$D$5)</f>
        <v>15000000</v>
      </c>
      <c r="H123" s="34" t="s">
        <v>109</v>
      </c>
      <c r="I123" s="31" t="s">
        <v>435</v>
      </c>
    </row>
    <row r="124" customFormat="false" ht="23.85" hidden="false" customHeight="false" outlineLevel="0" collapsed="false">
      <c r="A124" s="4" t="s">
        <v>436</v>
      </c>
      <c r="B124" s="31" t="s">
        <v>437</v>
      </c>
      <c r="C124" s="4" t="s">
        <v>46</v>
      </c>
      <c r="D124" s="35" t="n">
        <v>75000000</v>
      </c>
      <c r="E124" s="35" t="n">
        <v>75000000</v>
      </c>
      <c r="F124" s="35" t="n">
        <v>75000000</v>
      </c>
      <c r="G124" s="36" t="n">
        <f aca="false">INDEX(D124:F124,$D$5)</f>
        <v>75000000</v>
      </c>
      <c r="H124" s="34" t="s">
        <v>109</v>
      </c>
      <c r="I124" s="31" t="s">
        <v>438</v>
      </c>
    </row>
    <row r="125" customFormat="false" ht="15" hidden="false" customHeight="false" outlineLevel="0" collapsed="false">
      <c r="A125" s="4" t="s">
        <v>439</v>
      </c>
      <c r="B125" s="31" t="s">
        <v>440</v>
      </c>
      <c r="C125" s="4" t="s">
        <v>46</v>
      </c>
      <c r="D125" s="35" t="n">
        <v>25000000</v>
      </c>
      <c r="E125" s="35" t="n">
        <v>25000000</v>
      </c>
      <c r="F125" s="35" t="n">
        <v>25000000</v>
      </c>
      <c r="G125" s="36" t="n">
        <f aca="false">INDEX(D125:F125,$D$5)</f>
        <v>25000000</v>
      </c>
      <c r="H125" s="34" t="s">
        <v>109</v>
      </c>
      <c r="I125" s="31" t="s">
        <v>441</v>
      </c>
    </row>
    <row r="126" customFormat="false" ht="15" hidden="false" customHeight="false" outlineLevel="0" collapsed="false">
      <c r="A126" s="4" t="s">
        <v>442</v>
      </c>
      <c r="B126" s="31" t="s">
        <v>443</v>
      </c>
      <c r="C126" s="4" t="s">
        <v>46</v>
      </c>
      <c r="D126" s="35" t="n">
        <v>20000000</v>
      </c>
      <c r="E126" s="35" t="n">
        <v>20000000</v>
      </c>
      <c r="F126" s="35" t="n">
        <v>20000000</v>
      </c>
      <c r="G126" s="36" t="n">
        <f aca="false">INDEX(D126:F126,$D$5)</f>
        <v>20000000</v>
      </c>
      <c r="H126" s="34" t="s">
        <v>109</v>
      </c>
      <c r="I126" s="31" t="s">
        <v>444</v>
      </c>
    </row>
    <row r="127" customFormat="false" ht="15" hidden="false" customHeight="false" outlineLevel="0" collapsed="false">
      <c r="A127" s="4" t="s">
        <v>445</v>
      </c>
      <c r="B127" s="31" t="s">
        <v>446</v>
      </c>
      <c r="C127" s="4" t="s">
        <v>46</v>
      </c>
      <c r="D127" s="35" t="n">
        <v>15000000</v>
      </c>
      <c r="E127" s="35" t="n">
        <v>15000000</v>
      </c>
      <c r="F127" s="35" t="n">
        <v>15000000</v>
      </c>
      <c r="G127" s="36" t="n">
        <f aca="false">INDEX(D127:F127,$D$5)</f>
        <v>15000000</v>
      </c>
      <c r="H127" s="34" t="s">
        <v>109</v>
      </c>
      <c r="I127" s="31" t="s">
        <v>447</v>
      </c>
    </row>
    <row r="128" customFormat="false" ht="15" hidden="false" customHeight="false" outlineLevel="0" collapsed="false">
      <c r="A128" s="4" t="s">
        <v>448</v>
      </c>
      <c r="B128" s="31" t="s">
        <v>449</v>
      </c>
      <c r="C128" s="4" t="s">
        <v>46</v>
      </c>
      <c r="D128" s="35" t="n">
        <v>50000000</v>
      </c>
      <c r="E128" s="35" t="n">
        <v>50000000</v>
      </c>
      <c r="F128" s="35" t="n">
        <v>50000000</v>
      </c>
      <c r="G128" s="36" t="n">
        <f aca="false">INDEX(D128:F128,$D$5)</f>
        <v>50000000</v>
      </c>
      <c r="H128" s="34" t="s">
        <v>109</v>
      </c>
      <c r="I128" s="31" t="s">
        <v>450</v>
      </c>
    </row>
    <row r="129" customFormat="false" ht="15" hidden="false" customHeight="false" outlineLevel="0" collapsed="false">
      <c r="A129" s="4" t="s">
        <v>451</v>
      </c>
      <c r="B129" s="31" t="s">
        <v>452</v>
      </c>
      <c r="C129" s="4" t="s">
        <v>46</v>
      </c>
      <c r="D129" s="35" t="n">
        <v>15000000</v>
      </c>
      <c r="E129" s="35" t="n">
        <v>15000000</v>
      </c>
      <c r="F129" s="35" t="n">
        <v>15000000</v>
      </c>
      <c r="G129" s="36" t="n">
        <f aca="false">INDEX(D129:F129,$D$5)</f>
        <v>15000000</v>
      </c>
      <c r="H129" s="34" t="s">
        <v>109</v>
      </c>
      <c r="I129" s="31" t="s">
        <v>453</v>
      </c>
    </row>
    <row r="130" customFormat="false" ht="15" hidden="false" customHeight="false" outlineLevel="0" collapsed="false">
      <c r="A130" s="4" t="s">
        <v>454</v>
      </c>
      <c r="B130" s="31" t="s">
        <v>455</v>
      </c>
      <c r="C130" s="4" t="s">
        <v>46</v>
      </c>
      <c r="D130" s="35" t="n">
        <v>10000000</v>
      </c>
      <c r="E130" s="35" t="n">
        <v>10000000</v>
      </c>
      <c r="F130" s="35" t="n">
        <v>10000000</v>
      </c>
      <c r="G130" s="36" t="n">
        <f aca="false">INDEX(D130:F130,$D$5)</f>
        <v>10000000</v>
      </c>
      <c r="H130" s="34" t="s">
        <v>109</v>
      </c>
      <c r="I130" s="31" t="s">
        <v>456</v>
      </c>
    </row>
    <row r="131" customFormat="false" ht="15" hidden="false" customHeight="false" outlineLevel="0" collapsed="false">
      <c r="A131" s="4" t="s">
        <v>457</v>
      </c>
      <c r="B131" s="31" t="s">
        <v>458</v>
      </c>
      <c r="C131" s="4" t="s">
        <v>46</v>
      </c>
      <c r="D131" s="35" t="n">
        <v>35000000</v>
      </c>
      <c r="E131" s="35" t="n">
        <v>35000000</v>
      </c>
      <c r="F131" s="35" t="n">
        <v>35000000</v>
      </c>
      <c r="G131" s="36" t="n">
        <f aca="false">INDEX(D131:F131,$D$5)</f>
        <v>35000000</v>
      </c>
      <c r="H131" s="34" t="s">
        <v>109</v>
      </c>
      <c r="I131" s="31"/>
    </row>
    <row r="132" customFormat="false" ht="15" hidden="false" customHeight="false" outlineLevel="0" collapsed="false">
      <c r="A132" s="7" t="s">
        <v>459</v>
      </c>
      <c r="B132" s="8"/>
      <c r="C132" s="8"/>
      <c r="D132" s="8"/>
      <c r="E132" s="8"/>
      <c r="F132" s="8"/>
      <c r="G132" s="8"/>
      <c r="H132" s="8"/>
      <c r="I132" s="8"/>
    </row>
    <row r="133" customFormat="false" ht="15" hidden="false" customHeight="false" outlineLevel="0" collapsed="false">
      <c r="A133" s="4" t="s">
        <v>460</v>
      </c>
      <c r="B133" s="31" t="s">
        <v>461</v>
      </c>
      <c r="C133" s="4" t="s">
        <v>46</v>
      </c>
      <c r="D133" s="35" t="n">
        <v>3000000</v>
      </c>
      <c r="E133" s="35" t="n">
        <v>3000000</v>
      </c>
      <c r="F133" s="35" t="n">
        <v>3000000</v>
      </c>
      <c r="G133" s="36" t="n">
        <f aca="false">INDEX(D133:F133,$D$5)</f>
        <v>3000000</v>
      </c>
      <c r="H133" s="34" t="s">
        <v>117</v>
      </c>
      <c r="I133" s="31" t="s">
        <v>462</v>
      </c>
    </row>
    <row r="134" customFormat="false" ht="15" hidden="false" customHeight="false" outlineLevel="0" collapsed="false">
      <c r="A134" s="4" t="s">
        <v>463</v>
      </c>
      <c r="B134" s="31" t="s">
        <v>464</v>
      </c>
      <c r="C134" s="4" t="s">
        <v>46</v>
      </c>
      <c r="D134" s="35" t="n">
        <v>15000000</v>
      </c>
      <c r="E134" s="35" t="n">
        <v>15000000</v>
      </c>
      <c r="F134" s="35" t="n">
        <v>15000000</v>
      </c>
      <c r="G134" s="36" t="n">
        <f aca="false">INDEX(D134:F134,$D$5)</f>
        <v>15000000</v>
      </c>
      <c r="H134" s="34" t="s">
        <v>117</v>
      </c>
      <c r="I134" s="31" t="s">
        <v>465</v>
      </c>
    </row>
    <row r="135" customFormat="false" ht="15" hidden="false" customHeight="false" outlineLevel="0" collapsed="false">
      <c r="A135" s="4" t="s">
        <v>466</v>
      </c>
      <c r="B135" s="31" t="s">
        <v>467</v>
      </c>
      <c r="C135" s="4" t="s">
        <v>46</v>
      </c>
      <c r="D135" s="35" t="n">
        <v>30000000</v>
      </c>
      <c r="E135" s="35" t="n">
        <v>30000000</v>
      </c>
      <c r="F135" s="35" t="n">
        <v>30000000</v>
      </c>
      <c r="G135" s="36" t="n">
        <f aca="false">INDEX(D135:F135,$D$5)</f>
        <v>30000000</v>
      </c>
      <c r="H135" s="34" t="s">
        <v>117</v>
      </c>
      <c r="I135" s="31" t="s">
        <v>468</v>
      </c>
    </row>
    <row r="136" customFormat="false" ht="15" hidden="false" customHeight="false" outlineLevel="0" collapsed="false">
      <c r="A136" s="4" t="s">
        <v>469</v>
      </c>
      <c r="B136" s="31" t="s">
        <v>470</v>
      </c>
      <c r="C136" s="4" t="s">
        <v>46</v>
      </c>
      <c r="D136" s="35" t="n">
        <v>5000000</v>
      </c>
      <c r="E136" s="35" t="n">
        <v>5000000</v>
      </c>
      <c r="F136" s="35" t="n">
        <v>5000000</v>
      </c>
      <c r="G136" s="36" t="n">
        <f aca="false">INDEX(D136:F136,$D$5)</f>
        <v>5000000</v>
      </c>
      <c r="H136" s="34" t="s">
        <v>117</v>
      </c>
      <c r="I136" s="31" t="s">
        <v>471</v>
      </c>
    </row>
    <row r="138" customFormat="false" ht="30" hidden="false" customHeight="true" outlineLevel="0" collapsed="false">
      <c r="A138" s="26" t="s">
        <v>472</v>
      </c>
      <c r="B138" s="26"/>
      <c r="C138" s="26"/>
      <c r="D138" s="26"/>
      <c r="E138" s="26"/>
      <c r="F138" s="26"/>
      <c r="G138" s="26"/>
      <c r="H138" s="26"/>
      <c r="I138" s="26"/>
    </row>
  </sheetData>
  <mergeCells count="1">
    <mergeCell ref="A138:I138"/>
  </mergeCells>
  <dataValidations count="1">
    <dataValidation allowBlank="false" error="Pilih Konservatif, Dasar, atau Optimis" errorStyle="stop" operator="between" showDropDown="false" showErrorMessage="false" showInputMessage="false" sqref="D4" type="list">
      <formula1>"Konservatif,Dasar,Optimis"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2"/>
    <col collapsed="false" customWidth="true" hidden="false" outlineLevel="0" max="8" min="3" style="0" width="16"/>
    <col collapsed="false" customWidth="true" hidden="false" outlineLevel="0" max="9" min="9" style="0" width="20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473</v>
      </c>
    </row>
    <row r="2" customFormat="false" ht="15" hidden="false" customHeight="false" outlineLevel="0" collapsed="false">
      <c r="A2" s="2" t="s">
        <v>474</v>
      </c>
    </row>
    <row r="3" customFormat="false" ht="15" hidden="false" customHeight="false" outlineLevel="0" collapsed="false">
      <c r="A3" s="3" t="str">
        <f aca="false">"Skenario aktif: "&amp;Asumsi!$D$4</f>
        <v>Skenario aktif: Dasar</v>
      </c>
    </row>
    <row r="4" customFormat="false" ht="15" hidden="false" customHeight="false" outlineLevel="0" collapsed="false">
      <c r="A4" s="6"/>
      <c r="B4" s="6" t="s">
        <v>475</v>
      </c>
      <c r="C4" s="6" t="s">
        <v>476</v>
      </c>
      <c r="D4" s="6" t="s">
        <v>477</v>
      </c>
      <c r="E4" s="6" t="s">
        <v>478</v>
      </c>
      <c r="F4" s="6" t="s">
        <v>479</v>
      </c>
      <c r="G4" s="6" t="s">
        <v>480</v>
      </c>
      <c r="H4" s="6" t="s">
        <v>481</v>
      </c>
      <c r="I4" s="6" t="s">
        <v>482</v>
      </c>
      <c r="J4" s="6" t="s">
        <v>483</v>
      </c>
    </row>
    <row r="5" customFormat="false" ht="15" hidden="false" customHeight="false" outlineLevel="0" collapsed="false">
      <c r="B5" s="4" t="s">
        <v>484</v>
      </c>
      <c r="C5" s="29" t="n">
        <v>1</v>
      </c>
      <c r="D5" s="29" t="n">
        <v>2</v>
      </c>
      <c r="E5" s="29" t="n">
        <v>3</v>
      </c>
      <c r="F5" s="19" t="n">
        <f aca="false">Asumsi!$D$5</f>
        <v>2</v>
      </c>
      <c r="G5" s="19" t="n">
        <f aca="false">Asumsi!$D$5</f>
        <v>2</v>
      </c>
      <c r="H5" s="19" t="n">
        <f aca="false">Asumsi!$D$5</f>
        <v>2</v>
      </c>
    </row>
    <row r="6" customFormat="false" ht="15" hidden="false" customHeight="false" outlineLevel="0" collapsed="false">
      <c r="B6" s="25" t="s">
        <v>485</v>
      </c>
      <c r="C6" s="9" t="n">
        <f aca="false">INDEX(Asumsi!$D$58:$F$58,C$5)</f>
        <v>1500000</v>
      </c>
      <c r="D6" s="9" t="n">
        <f aca="false">INDEX(Asumsi!$D$58:$F$58,D$5)</f>
        <v>2000000</v>
      </c>
      <c r="E6" s="9" t="n">
        <f aca="false">INDEX(Asumsi!$D$58:$F$58,E$5)</f>
        <v>2500000</v>
      </c>
      <c r="F6" s="45" t="n">
        <v>1000000</v>
      </c>
      <c r="G6" s="45" t="n">
        <v>2500000</v>
      </c>
      <c r="H6" s="45" t="n">
        <v>5000000</v>
      </c>
    </row>
    <row r="7" customFormat="false" ht="15" hidden="false" customHeight="false" outlineLevel="0" collapsed="false">
      <c r="A7" s="7" t="s">
        <v>486</v>
      </c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B8" s="4" t="s">
        <v>487</v>
      </c>
      <c r="C8" s="36" t="n">
        <f aca="false">C6</f>
        <v>1500000</v>
      </c>
      <c r="D8" s="36" t="n">
        <f aca="false">D6</f>
        <v>2000000</v>
      </c>
      <c r="E8" s="36" t="n">
        <f aca="false">E6</f>
        <v>2500000</v>
      </c>
      <c r="F8" s="36" t="n">
        <f aca="false">F6</f>
        <v>1000000</v>
      </c>
      <c r="G8" s="36" t="n">
        <f aca="false">G6</f>
        <v>2500000</v>
      </c>
      <c r="H8" s="36" t="n">
        <f aca="false">H6</f>
        <v>5000000</v>
      </c>
      <c r="I8" s="4" t="s">
        <v>488</v>
      </c>
      <c r="J8" s="53" t="s">
        <v>489</v>
      </c>
    </row>
    <row r="9" customFormat="false" ht="15" hidden="false" customHeight="false" outlineLevel="0" collapsed="false">
      <c r="B9" s="4" t="s">
        <v>490</v>
      </c>
      <c r="C9" s="36" t="n">
        <f aca="false">MAX(C81,MIN(ROUND(C8*C80,0),ROUNDDOWN(C8*C82,0)))</f>
        <v>150000</v>
      </c>
      <c r="D9" s="36" t="n">
        <f aca="false">MAX(D81,MIN(ROUND(D8*D80,0),ROUNDDOWN(D8*D82,0)))</f>
        <v>200000</v>
      </c>
      <c r="E9" s="36" t="n">
        <f aca="false">MAX(E81,MIN(ROUND(E8*E80,0),ROUNDDOWN(E8*E82,0)))</f>
        <v>250000</v>
      </c>
      <c r="F9" s="36" t="n">
        <f aca="false">MAX(F81,MIN(ROUND(F8*F80,0),ROUNDDOWN(F8*F82,0)))</f>
        <v>100000</v>
      </c>
      <c r="G9" s="36" t="n">
        <f aca="false">MAX(G81,MIN(ROUND(G8*G80,0),ROUNDDOWN(G8*G82,0)))</f>
        <v>250000</v>
      </c>
      <c r="H9" s="36" t="n">
        <f aca="false">MAX(H81,MIN(ROUND(H8*H80,0),ROUNDDOWN(H8*H82,0)))</f>
        <v>500000</v>
      </c>
      <c r="I9" s="4" t="s">
        <v>491</v>
      </c>
      <c r="J9" s="53" t="s">
        <v>492</v>
      </c>
    </row>
    <row r="10" customFormat="false" ht="15" hidden="false" customHeight="false" outlineLevel="0" collapsed="false">
      <c r="B10" s="4" t="s">
        <v>493</v>
      </c>
      <c r="C10" s="36" t="n">
        <f aca="false">CEILING(C8*C83,1000)</f>
        <v>150000</v>
      </c>
      <c r="D10" s="36" t="n">
        <f aca="false">CEILING(D8*D83,1000)</f>
        <v>200000</v>
      </c>
      <c r="E10" s="36" t="n">
        <f aca="false">CEILING(E8*E83,1000)</f>
        <v>250000</v>
      </c>
      <c r="F10" s="36" t="n">
        <f aca="false">CEILING(F8*F83,1000)</f>
        <v>100000</v>
      </c>
      <c r="G10" s="36" t="n">
        <f aca="false">CEILING(G8*G83,1000)</f>
        <v>250000</v>
      </c>
      <c r="H10" s="36" t="n">
        <f aca="false">CEILING(H8*H83,1000)</f>
        <v>500000</v>
      </c>
      <c r="I10" s="4" t="s">
        <v>494</v>
      </c>
      <c r="J10" s="53" t="s">
        <v>495</v>
      </c>
    </row>
    <row r="11" customFormat="false" ht="15" hidden="false" customHeight="false" outlineLevel="0" collapsed="false">
      <c r="B11" s="4" t="s">
        <v>496</v>
      </c>
      <c r="C11" s="36" t="n">
        <f aca="false">CEILING((C8+C10)*C84*C85,1000)+CEILING((C8+C10)*C86,1000)</f>
        <v>265000</v>
      </c>
      <c r="D11" s="36" t="n">
        <f aca="false">CEILING((D8+D10)*D84*D85,1000)+CEILING((D8+D10)*D86,1000)</f>
        <v>353000</v>
      </c>
      <c r="E11" s="36" t="n">
        <f aca="false">CEILING((E8+E10)*E84*E85,1000)+CEILING((E8+E10)*E86,1000)</f>
        <v>441000</v>
      </c>
      <c r="F11" s="36" t="n">
        <f aca="false">CEILING((F8+F10)*F84*F85,1000)+CEILING((F8+F10)*F86,1000)</f>
        <v>177000</v>
      </c>
      <c r="G11" s="36" t="n">
        <f aca="false">CEILING((G8+G10)*G84*G85,1000)+CEILING((G8+G10)*G86,1000)</f>
        <v>441000</v>
      </c>
      <c r="H11" s="36" t="n">
        <f aca="false">CEILING((H8+H10)*H84*H85,1000)+CEILING((H8+H10)*H86,1000)</f>
        <v>881000</v>
      </c>
      <c r="I11" s="4" t="s">
        <v>494</v>
      </c>
      <c r="J11" s="53" t="s">
        <v>495</v>
      </c>
    </row>
    <row r="12" customFormat="false" ht="15" hidden="false" customHeight="false" outlineLevel="0" collapsed="false">
      <c r="B12" s="4" t="s">
        <v>497</v>
      </c>
      <c r="C12" s="36" t="n">
        <f aca="false">MIN(C89,MAX(C88,ROUND(C8*C87,0)))</f>
        <v>22500</v>
      </c>
      <c r="D12" s="36" t="n">
        <f aca="false">MIN(D89,MAX(D88,ROUND(D8*D87,0)))</f>
        <v>30000</v>
      </c>
      <c r="E12" s="36" t="n">
        <f aca="false">MIN(E89,MAX(E88,ROUND(E8*E87,0)))</f>
        <v>37500</v>
      </c>
      <c r="F12" s="36" t="n">
        <f aca="false">MIN(F89,MAX(F88,ROUND(F8*F87,0)))</f>
        <v>15000</v>
      </c>
      <c r="G12" s="36" t="n">
        <f aca="false">MIN(G89,MAX(G88,ROUND(G8*G87,0)))</f>
        <v>37500</v>
      </c>
      <c r="H12" s="36" t="n">
        <f aca="false">MIN(H89,MAX(H88,ROUND(H8*H87,0)))</f>
        <v>75000</v>
      </c>
      <c r="I12" s="4" t="s">
        <v>498</v>
      </c>
      <c r="J12" s="53" t="s">
        <v>499</v>
      </c>
    </row>
    <row r="13" customFormat="false" ht="15" hidden="false" customHeight="false" outlineLevel="0" collapsed="false">
      <c r="B13" s="4" t="s">
        <v>500</v>
      </c>
      <c r="C13" s="36" t="n">
        <f aca="false">MIN(C92,MAX(C91,ROUND(C8*C90,0)))</f>
        <v>75000</v>
      </c>
      <c r="D13" s="36" t="n">
        <f aca="false">MIN(D92,MAX(D91,ROUND(D8*D90,0)))</f>
        <v>100000</v>
      </c>
      <c r="E13" s="36" t="n">
        <f aca="false">MIN(E92,MAX(E91,ROUND(E8*E90,0)))</f>
        <v>125000</v>
      </c>
      <c r="F13" s="36" t="n">
        <f aca="false">MIN(F92,MAX(F91,ROUND(F8*F90,0)))</f>
        <v>50000</v>
      </c>
      <c r="G13" s="36" t="n">
        <f aca="false">MIN(G92,MAX(G91,ROUND(G8*G90,0)))</f>
        <v>125000</v>
      </c>
      <c r="H13" s="36" t="n">
        <f aca="false">MIN(H92,MAX(H91,ROUND(H8*H90,0)))</f>
        <v>250000</v>
      </c>
      <c r="I13" s="4" t="s">
        <v>498</v>
      </c>
      <c r="J13" s="53" t="s">
        <v>501</v>
      </c>
    </row>
    <row r="14" customFormat="false" ht="15" hidden="false" customHeight="false" outlineLevel="0" collapsed="false">
      <c r="B14" s="4" t="s">
        <v>502</v>
      </c>
      <c r="C14" s="36" t="n">
        <f aca="false">C95*ROUND((C12+C13)*C94*C93,0)</f>
        <v>10725</v>
      </c>
      <c r="D14" s="36" t="n">
        <f aca="false">D95*ROUND((D12+D13)*D94*D93,0)</f>
        <v>14300</v>
      </c>
      <c r="E14" s="36" t="n">
        <f aca="false">E95*ROUND((E12+E13)*E94*E93,0)</f>
        <v>17875</v>
      </c>
      <c r="F14" s="36" t="n">
        <f aca="false">F95*ROUND((F12+F13)*F94*F93,0)</f>
        <v>7150</v>
      </c>
      <c r="G14" s="36" t="n">
        <f aca="false">G95*ROUND((G12+G13)*G94*G93,0)</f>
        <v>17875</v>
      </c>
      <c r="H14" s="36" t="n">
        <f aca="false">H95*ROUND((H12+H13)*H94*H93,0)</f>
        <v>35750</v>
      </c>
      <c r="I14" s="4" t="s">
        <v>503</v>
      </c>
      <c r="J14" s="53" t="s">
        <v>504</v>
      </c>
    </row>
    <row r="15" customFormat="false" ht="15" hidden="false" customHeight="false" outlineLevel="0" collapsed="false">
      <c r="B15" s="4" t="s">
        <v>505</v>
      </c>
      <c r="C15" s="36" t="n">
        <f aca="false">C33</f>
        <v>15092.68</v>
      </c>
      <c r="D15" s="36" t="n">
        <f aca="false">D33</f>
        <v>22833.65</v>
      </c>
      <c r="E15" s="36" t="n">
        <f aca="false">E33</f>
        <v>32611.38</v>
      </c>
      <c r="F15" s="36" t="n">
        <f aca="false">F33</f>
        <v>12648.45</v>
      </c>
      <c r="G15" s="36" t="n">
        <f aca="false">G33</f>
        <v>27926.15</v>
      </c>
      <c r="H15" s="36" t="n">
        <f aca="false">H33</f>
        <v>53388.95</v>
      </c>
      <c r="I15" s="4" t="s">
        <v>506</v>
      </c>
      <c r="J15" s="53" t="s">
        <v>507</v>
      </c>
    </row>
    <row r="16" customFormat="false" ht="15" hidden="false" customHeight="false" outlineLevel="0" collapsed="false">
      <c r="B16" s="4" t="s">
        <v>508</v>
      </c>
      <c r="C16" s="35" t="n">
        <v>0</v>
      </c>
      <c r="D16" s="35" t="n">
        <v>0</v>
      </c>
      <c r="E16" s="35" t="n">
        <v>0</v>
      </c>
      <c r="F16" s="35" t="n">
        <v>0</v>
      </c>
      <c r="G16" s="35" t="n">
        <v>0</v>
      </c>
      <c r="H16" s="35" t="n">
        <v>0</v>
      </c>
      <c r="I16" s="4" t="s">
        <v>509</v>
      </c>
      <c r="J16" s="53" t="s">
        <v>510</v>
      </c>
    </row>
    <row r="17" customFormat="false" ht="15" hidden="false" customHeight="false" outlineLevel="0" collapsed="false">
      <c r="B17" s="4" t="s">
        <v>511</v>
      </c>
      <c r="C17" s="35" t="n">
        <v>0</v>
      </c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4" t="s">
        <v>509</v>
      </c>
      <c r="J17" s="53" t="s">
        <v>512</v>
      </c>
    </row>
    <row r="18" customFormat="false" ht="15" hidden="false" customHeight="false" outlineLevel="0" collapsed="false">
      <c r="B18" s="25" t="s">
        <v>513</v>
      </c>
      <c r="C18" s="54" t="n">
        <f aca="false">SUM(C8:C14)+C15+C16+C17</f>
        <v>2188317.68</v>
      </c>
      <c r="D18" s="54" t="n">
        <f aca="false">SUM(D8:D14)+D15+D16+D17</f>
        <v>2920133.65</v>
      </c>
      <c r="E18" s="54" t="n">
        <f aca="false">SUM(E8:E14)+E15+E16+E17</f>
        <v>3653986.38</v>
      </c>
      <c r="F18" s="54" t="n">
        <f aca="false">SUM(F8:F14)+F15+F16+F17</f>
        <v>1461798.45</v>
      </c>
      <c r="G18" s="54" t="n">
        <f aca="false">SUM(G8:G14)+G15+G16+G17</f>
        <v>3649301.15</v>
      </c>
      <c r="H18" s="54" t="n">
        <f aca="false">SUM(H8:H14)+H15+H16+H17</f>
        <v>7295138.95</v>
      </c>
      <c r="I18" s="4" t="s">
        <v>514</v>
      </c>
      <c r="J18" s="53" t="s">
        <v>515</v>
      </c>
    </row>
    <row r="19" customFormat="false" ht="15" hidden="false" customHeight="false" outlineLevel="0" collapsed="false">
      <c r="A19" s="7" t="s">
        <v>516</v>
      </c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B20" s="4" t="s">
        <v>517</v>
      </c>
      <c r="C20" s="36" t="n">
        <f aca="false">SUM(C8:C14)+C16+C17</f>
        <v>2173225</v>
      </c>
      <c r="D20" s="36" t="n">
        <f aca="false">SUM(D8:D14)+D16+D17</f>
        <v>2897300</v>
      </c>
      <c r="E20" s="36" t="n">
        <f aca="false">SUM(E8:E14)+E16+E17</f>
        <v>3621375</v>
      </c>
      <c r="F20" s="36" t="n">
        <f aca="false">SUM(F8:F14)+F16+F17</f>
        <v>1449150</v>
      </c>
      <c r="G20" s="36" t="n">
        <f aca="false">SUM(G8:G14)+G16+G17</f>
        <v>3621375</v>
      </c>
      <c r="H20" s="36" t="n">
        <f aca="false">SUM(H8:H14)+H16+H17</f>
        <v>7241750</v>
      </c>
      <c r="I20" s="4"/>
      <c r="J20" s="53"/>
    </row>
    <row r="21" customFormat="false" ht="15" hidden="false" customHeight="false" outlineLevel="0" collapsed="false">
      <c r="B21" s="4" t="s">
        <v>518</v>
      </c>
      <c r="C21" s="36" t="n">
        <f aca="false">IF(C20&gt;0,ROUNDUP(ROUND((C20+C96)/(1-C97),6),0)-C20,0)</f>
        <v>4500</v>
      </c>
      <c r="D21" s="36" t="n">
        <f aca="false">IF(D20&gt;0,ROUNDUP(ROUND((D20+D96)/(1-D97),6),0)-D20,0)</f>
        <v>4500</v>
      </c>
      <c r="E21" s="36" t="n">
        <f aca="false">IF(E20&gt;0,ROUNDUP(ROUND((E20+E96)/(1-E97),6),0)-E20,0)</f>
        <v>4500</v>
      </c>
      <c r="F21" s="36" t="n">
        <f aca="false">IF(F20&gt;0,ROUNDUP(ROUND((F20+F96)/(1-F97),6),0)-F20,0)</f>
        <v>4500</v>
      </c>
      <c r="G21" s="36" t="n">
        <f aca="false">IF(G20&gt;0,ROUNDUP(ROUND((G20+G96)/(1-G97),6),0)-G20,0)</f>
        <v>4500</v>
      </c>
      <c r="H21" s="36" t="n">
        <f aca="false">IF(H20&gt;0,ROUNDUP(ROUND((H20+H96)/(1-H97),6),0)-H20,0)</f>
        <v>4500</v>
      </c>
      <c r="I21" s="4"/>
      <c r="J21" s="53" t="s">
        <v>519</v>
      </c>
    </row>
    <row r="22" customFormat="false" ht="15" hidden="false" customHeight="false" outlineLevel="0" collapsed="false">
      <c r="B22" s="4" t="s">
        <v>520</v>
      </c>
      <c r="C22" s="36" t="n">
        <f aca="false">ROUND((C104+C105)*(1+C110),0)</f>
        <v>14430</v>
      </c>
      <c r="D22" s="36" t="n">
        <f aca="false">ROUND((D104+D105)*(1+D110),0)</f>
        <v>14430</v>
      </c>
      <c r="E22" s="36" t="n">
        <f aca="false">ROUND((E104+E105)*(1+E110),0)</f>
        <v>14430</v>
      </c>
      <c r="F22" s="36" t="n">
        <f aca="false">ROUND((F104+F105)*(1+F110),0)</f>
        <v>14430</v>
      </c>
      <c r="G22" s="36" t="n">
        <f aca="false">ROUND((G104+G105)*(1+G110),0)</f>
        <v>14430</v>
      </c>
      <c r="H22" s="36" t="n">
        <f aca="false">ROUND((H104+H105)*(1+H110),0)</f>
        <v>14430</v>
      </c>
      <c r="I22" s="4"/>
      <c r="J22" s="53" t="s">
        <v>521</v>
      </c>
    </row>
    <row r="23" customFormat="false" ht="15" hidden="false" customHeight="false" outlineLevel="0" collapsed="false">
      <c r="B23" s="4" t="s">
        <v>522</v>
      </c>
      <c r="C23" s="36" t="n">
        <f aca="false">C22-C21</f>
        <v>9930</v>
      </c>
      <c r="D23" s="36" t="n">
        <f aca="false">D22-D21</f>
        <v>9930</v>
      </c>
      <c r="E23" s="36" t="n">
        <f aca="false">E22-E21</f>
        <v>9930</v>
      </c>
      <c r="F23" s="36" t="n">
        <f aca="false">F22-F21</f>
        <v>9930</v>
      </c>
      <c r="G23" s="36" t="n">
        <f aca="false">G22-G21</f>
        <v>9930</v>
      </c>
      <c r="H23" s="36" t="n">
        <f aca="false">H22-H21</f>
        <v>9930</v>
      </c>
      <c r="I23" s="4"/>
      <c r="J23" s="53" t="s">
        <v>523</v>
      </c>
    </row>
    <row r="24" customFormat="false" ht="15" hidden="false" customHeight="false" outlineLevel="0" collapsed="false">
      <c r="B24" s="4" t="s">
        <v>524</v>
      </c>
      <c r="C24" s="36" t="n">
        <f aca="false">IF(C20&gt;0,ROUNDUP(ROUND((C20+C98)/(1-C99),6),0)-C20,0)</f>
        <v>15320</v>
      </c>
      <c r="D24" s="36" t="n">
        <f aca="false">IF(D20&gt;0,ROUNDUP(ROUND((D20+D98)/(1-D99),6),0)-D20,0)</f>
        <v>20425</v>
      </c>
      <c r="E24" s="36" t="n">
        <f aca="false">IF(E20&gt;0,ROUNDUP(ROUND((E20+E98)/(1-E99),6),0)-E20,0)</f>
        <v>25529</v>
      </c>
      <c r="F24" s="36" t="n">
        <f aca="false">IF(F20&gt;0,ROUNDUP(ROUND((F20+F98)/(1-F99),6),0)-F20,0)</f>
        <v>10216</v>
      </c>
      <c r="G24" s="36" t="n">
        <f aca="false">IF(G20&gt;0,ROUNDUP(ROUND((G20+G98)/(1-G99),6),0)-G20,0)</f>
        <v>25529</v>
      </c>
      <c r="H24" s="36" t="n">
        <f aca="false">IF(H20&gt;0,ROUNDUP(ROUND((H20+H98)/(1-H99),6),0)-H20,0)</f>
        <v>51050</v>
      </c>
      <c r="I24" s="4"/>
      <c r="J24" s="53" t="s">
        <v>525</v>
      </c>
    </row>
    <row r="25" customFormat="false" ht="15" hidden="false" customHeight="false" outlineLevel="0" collapsed="false">
      <c r="B25" s="4" t="s">
        <v>526</v>
      </c>
      <c r="C25" s="36" t="n">
        <f aca="false">ROUND((C20+C24)*C106+C105*(1+C110),0)</f>
        <v>19760</v>
      </c>
      <c r="D25" s="36" t="n">
        <f aca="false">ROUND((D20+D24)*D106+D105*(1+D110),0)</f>
        <v>24864</v>
      </c>
      <c r="E25" s="36" t="n">
        <f aca="false">ROUND((E20+E24)*E106+E105*(1+E110),0)</f>
        <v>29968</v>
      </c>
      <c r="F25" s="36" t="n">
        <f aca="false">ROUND((F20+F24)*F106+F105*(1+F110),0)</f>
        <v>14656</v>
      </c>
      <c r="G25" s="36" t="n">
        <f aca="false">ROUND((G20+G24)*G106+G105*(1+G110),0)</f>
        <v>29968</v>
      </c>
      <c r="H25" s="36" t="n">
        <f aca="false">ROUND((H20+H24)*H106+H105*(1+H110),0)</f>
        <v>55490</v>
      </c>
      <c r="I25" s="4"/>
      <c r="J25" s="53"/>
    </row>
    <row r="26" customFormat="false" ht="15" hidden="false" customHeight="false" outlineLevel="0" collapsed="false">
      <c r="B26" s="4" t="s">
        <v>527</v>
      </c>
      <c r="C26" s="36" t="n">
        <f aca="false">C25-C24</f>
        <v>4440</v>
      </c>
      <c r="D26" s="36" t="n">
        <f aca="false">D25-D24</f>
        <v>4439</v>
      </c>
      <c r="E26" s="36" t="n">
        <f aca="false">E25-E24</f>
        <v>4439</v>
      </c>
      <c r="F26" s="36" t="n">
        <f aca="false">F25-F24</f>
        <v>4440</v>
      </c>
      <c r="G26" s="36" t="n">
        <f aca="false">G25-G24</f>
        <v>4439</v>
      </c>
      <c r="H26" s="36" t="n">
        <f aca="false">H25-H24</f>
        <v>4440</v>
      </c>
      <c r="I26" s="4"/>
      <c r="J26" s="53"/>
    </row>
    <row r="27" customFormat="false" ht="15" hidden="false" customHeight="false" outlineLevel="0" collapsed="false">
      <c r="B27" s="4" t="s">
        <v>528</v>
      </c>
      <c r="C27" s="36" t="n">
        <f aca="false">IF(C20&gt;0,ROUNDUP(ROUND((C20+C100)/(1-C101),6),0)-C20,0)</f>
        <v>33095</v>
      </c>
      <c r="D27" s="36" t="n">
        <f aca="false">IF(D20&gt;0,ROUNDUP(ROUND((D20+D100)/(1-D101),6),0)-D20,0)</f>
        <v>44122</v>
      </c>
      <c r="E27" s="36" t="n">
        <f aca="false">IF(E20&gt;0,ROUNDUP(ROUND((E20+E100)/(1-E101),6),0)-E20,0)</f>
        <v>55148</v>
      </c>
      <c r="F27" s="36" t="n">
        <f aca="false">IF(F20&gt;0,ROUNDUP(ROUND((F20+F100)/(1-F101),6),0)-F20,0)</f>
        <v>22069</v>
      </c>
      <c r="G27" s="36" t="n">
        <f aca="false">IF(G20&gt;0,ROUNDUP(ROUND((G20+G100)/(1-G101),6),0)-G20,0)</f>
        <v>55148</v>
      </c>
      <c r="H27" s="36" t="n">
        <f aca="false">IF(H20&gt;0,ROUNDUP(ROUND((H20+H100)/(1-H101),6),0)-H20,0)</f>
        <v>110281</v>
      </c>
      <c r="I27" s="4"/>
      <c r="J27" s="53" t="s">
        <v>529</v>
      </c>
    </row>
    <row r="28" customFormat="false" ht="15" hidden="false" customHeight="false" outlineLevel="0" collapsed="false">
      <c r="B28" s="4" t="s">
        <v>530</v>
      </c>
      <c r="C28" s="36" t="n">
        <f aca="false">ROUND(((C20+C27)*C107+C105)*(1+C110),0)</f>
        <v>90156</v>
      </c>
      <c r="D28" s="36" t="n">
        <f aca="false">ROUND(((D20+D27)*D107+D105)*(1+D110),0)</f>
        <v>102389</v>
      </c>
      <c r="E28" s="36" t="n">
        <f aca="false">ROUND(((E20+E27)*E107+E105)*(1+E110),0)</f>
        <v>106464</v>
      </c>
      <c r="F28" s="36" t="n">
        <f aca="false">ROUND(((F20+F27)*F107+F105)*(1+F110),0)</f>
        <v>53432</v>
      </c>
      <c r="G28" s="36" t="n">
        <f aca="false">ROUND(((G20+G27)*G107+G105)*(1+G110),0)</f>
        <v>126868</v>
      </c>
      <c r="H28" s="36" t="n">
        <f aca="false">ROUND(((H20+H27)*H107+H105)*(1+H110),0)</f>
        <v>249263</v>
      </c>
      <c r="I28" s="4"/>
      <c r="J28" s="53"/>
    </row>
    <row r="29" customFormat="false" ht="15" hidden="false" customHeight="false" outlineLevel="0" collapsed="false">
      <c r="B29" s="4" t="s">
        <v>531</v>
      </c>
      <c r="C29" s="36" t="n">
        <f aca="false">C28-C27</f>
        <v>57061</v>
      </c>
      <c r="D29" s="36" t="n">
        <f aca="false">D28-D27</f>
        <v>58267</v>
      </c>
      <c r="E29" s="36" t="n">
        <f aca="false">E28-E27</f>
        <v>51316</v>
      </c>
      <c r="F29" s="36" t="n">
        <f aca="false">F28-F27</f>
        <v>31363</v>
      </c>
      <c r="G29" s="36" t="n">
        <f aca="false">G28-G27</f>
        <v>71720</v>
      </c>
      <c r="H29" s="36" t="n">
        <f aca="false">H28-H27</f>
        <v>138982</v>
      </c>
      <c r="I29" s="4"/>
      <c r="J29" s="53"/>
    </row>
    <row r="30" customFormat="false" ht="15" hidden="false" customHeight="false" outlineLevel="0" collapsed="false">
      <c r="B30" s="4" t="s">
        <v>532</v>
      </c>
      <c r="C30" s="36" t="n">
        <f aca="false">IF(C20&gt;0,ROUNDUP(ROUND((C20+C102)/(1-C103),6),0)-C20,0)</f>
        <v>66966</v>
      </c>
      <c r="D30" s="36" t="n">
        <f aca="false">IF(D20&gt;0,ROUNDUP(ROUND((D20+D102)/(1-D103),6),0)-D20,0)</f>
        <v>88591</v>
      </c>
      <c r="E30" s="36" t="n">
        <f aca="false">IF(E20&gt;0,ROUNDUP(ROUND((E20+E102)/(1-E103),6),0)-E20,0)</f>
        <v>110217</v>
      </c>
      <c r="F30" s="36" t="n">
        <f aca="false">IF(F20&gt;0,ROUNDUP(ROUND((F20+F102)/(1-F103),6),0)-F20,0)</f>
        <v>45341</v>
      </c>
      <c r="G30" s="36" t="n">
        <f aca="false">IF(G20&gt;0,ROUNDUP(ROUND((G20+G102)/(1-G103),6),0)-G20,0)</f>
        <v>110217</v>
      </c>
      <c r="H30" s="36" t="n">
        <f aca="false">IF(H20&gt;0,ROUNDUP(ROUND((H20+H102)/(1-H103),6),0)-H20,0)</f>
        <v>218343</v>
      </c>
      <c r="I30" s="4"/>
      <c r="J30" s="53" t="s">
        <v>533</v>
      </c>
    </row>
    <row r="31" customFormat="false" ht="15" hidden="false" customHeight="false" outlineLevel="0" collapsed="false">
      <c r="B31" s="4" t="s">
        <v>534</v>
      </c>
      <c r="C31" s="36" t="n">
        <f aca="false">ROUND(((C20+C30)*C108+C109+C105)*(1+C110),0)</f>
        <v>78772</v>
      </c>
      <c r="D31" s="36" t="n">
        <f aca="false">ROUND(((D20+D30)*D108+D109+D105)*(1+D110),0)</f>
        <v>102776</v>
      </c>
      <c r="E31" s="36" t="n">
        <f aca="false">ROUND(((E20+E30)*E108+E109+E105)*(1+E110),0)</f>
        <v>126780</v>
      </c>
      <c r="F31" s="36" t="n">
        <f aca="false">ROUND(((F20+F30)*F108+F109+F105)*(1+F110),0)</f>
        <v>54768</v>
      </c>
      <c r="G31" s="36" t="n">
        <f aca="false">ROUND(((G20+G30)*G108+G109+G105)*(1+G110),0)</f>
        <v>126780</v>
      </c>
      <c r="H31" s="36" t="n">
        <f aca="false">ROUND(((H20+H30)*H108+H109+H105)*(1+H110),0)</f>
        <v>246800</v>
      </c>
      <c r="I31" s="4"/>
      <c r="J31" s="53"/>
    </row>
    <row r="32" customFormat="false" ht="15" hidden="false" customHeight="false" outlineLevel="0" collapsed="false">
      <c r="B32" s="4" t="s">
        <v>535</v>
      </c>
      <c r="C32" s="36" t="n">
        <f aca="false">C31-C30</f>
        <v>11806</v>
      </c>
      <c r="D32" s="36" t="n">
        <f aca="false">D31-D30</f>
        <v>14185</v>
      </c>
      <c r="E32" s="36" t="n">
        <f aca="false">E31-E30</f>
        <v>16563</v>
      </c>
      <c r="F32" s="36" t="n">
        <f aca="false">F31-F30</f>
        <v>9427</v>
      </c>
      <c r="G32" s="36" t="n">
        <f aca="false">G31-G30</f>
        <v>16563</v>
      </c>
      <c r="H32" s="36" t="n">
        <f aca="false">H31-H30</f>
        <v>28457</v>
      </c>
      <c r="I32" s="4"/>
      <c r="J32" s="53"/>
    </row>
    <row r="33" customFormat="false" ht="15" hidden="false" customHeight="false" outlineLevel="0" collapsed="false">
      <c r="B33" s="25" t="s">
        <v>536</v>
      </c>
      <c r="C33" s="54" t="n">
        <f aca="false">C114*C21+C115*C24+C116*C27+C117*C30</f>
        <v>15092.68</v>
      </c>
      <c r="D33" s="54" t="n">
        <f aca="false">D114*D21+D115*D24+D116*D27+D117*D30</f>
        <v>22833.65</v>
      </c>
      <c r="E33" s="54" t="n">
        <f aca="false">E114*E21+E115*E24+E116*E27+E117*E30</f>
        <v>32611.38</v>
      </c>
      <c r="F33" s="54" t="n">
        <f aca="false">F114*F21+F115*F24+F116*F27+F117*F30</f>
        <v>12648.45</v>
      </c>
      <c r="G33" s="54" t="n">
        <f aca="false">G114*G21+G115*G24+G116*G27+G117*G30</f>
        <v>27926.15</v>
      </c>
      <c r="H33" s="54" t="n">
        <f aca="false">H114*H21+H115*H24+H116*H27+H117*H30</f>
        <v>53388.95</v>
      </c>
      <c r="I33" s="4"/>
      <c r="J33" s="53"/>
    </row>
    <row r="34" customFormat="false" ht="15" hidden="false" customHeight="false" outlineLevel="0" collapsed="false">
      <c r="B34" s="25" t="s">
        <v>537</v>
      </c>
      <c r="C34" s="54" t="n">
        <f aca="false">C114*C22+C115*C25+C116*C28+C117*C31</f>
        <v>29730.48</v>
      </c>
      <c r="D34" s="54" t="n">
        <f aca="false">D114*D22+D115*D25+D116*D28+D117*D31</f>
        <v>39066.95</v>
      </c>
      <c r="E34" s="54" t="n">
        <f aca="false">E114*E22+E115*E25+E116*E28+E117*E31</f>
        <v>49139.52</v>
      </c>
      <c r="F34" s="54" t="n">
        <f aca="false">F114*F22+F115*F25+F116*F28+F117*F31</f>
        <v>24370.6</v>
      </c>
      <c r="G34" s="54" t="n">
        <f aca="false">G114*G22+G115*G25+G116*G28+G117*G31</f>
        <v>46415.2</v>
      </c>
      <c r="H34" s="54" t="n">
        <f aca="false">H114*H22+H115*H25+H116*H28+H117*H31</f>
        <v>83156.95</v>
      </c>
      <c r="I34" s="4"/>
      <c r="J34" s="53"/>
    </row>
    <row r="35" customFormat="false" ht="15" hidden="false" customHeight="false" outlineLevel="0" collapsed="false">
      <c r="B35" s="25" t="s">
        <v>538</v>
      </c>
      <c r="C35" s="54" t="n">
        <f aca="false">C34-C33</f>
        <v>14637.8</v>
      </c>
      <c r="D35" s="54" t="n">
        <f aca="false">D34-D33</f>
        <v>16233.3</v>
      </c>
      <c r="E35" s="54" t="n">
        <f aca="false">E34-E33</f>
        <v>16528.14</v>
      </c>
      <c r="F35" s="54" t="n">
        <f aca="false">F34-F33</f>
        <v>11722.15</v>
      </c>
      <c r="G35" s="54" t="n">
        <f aca="false">G34-G33</f>
        <v>18489.05</v>
      </c>
      <c r="H35" s="54" t="n">
        <f aca="false">H34-H33</f>
        <v>29768</v>
      </c>
      <c r="I35" s="4"/>
      <c r="J35" s="53"/>
    </row>
    <row r="36" customFormat="false" ht="15" hidden="false" customHeight="false" outlineLevel="0" collapsed="false">
      <c r="A36" s="7" t="s">
        <v>539</v>
      </c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B37" s="4" t="s">
        <v>540</v>
      </c>
      <c r="C37" s="36" t="n">
        <f aca="false">C8</f>
        <v>1500000</v>
      </c>
      <c r="D37" s="36" t="n">
        <f aca="false">D8</f>
        <v>2000000</v>
      </c>
      <c r="E37" s="36" t="n">
        <f aca="false">E8</f>
        <v>2500000</v>
      </c>
      <c r="F37" s="36" t="n">
        <f aca="false">F8</f>
        <v>1000000</v>
      </c>
      <c r="G37" s="36" t="n">
        <f aca="false">G8</f>
        <v>2500000</v>
      </c>
      <c r="H37" s="36" t="n">
        <f aca="false">H8</f>
        <v>5000000</v>
      </c>
      <c r="I37" s="4"/>
      <c r="J37" s="53"/>
    </row>
    <row r="38" customFormat="false" ht="15" hidden="false" customHeight="false" outlineLevel="0" collapsed="false">
      <c r="B38" s="4" t="s">
        <v>541</v>
      </c>
      <c r="C38" s="36" t="n">
        <f aca="false">C9</f>
        <v>150000</v>
      </c>
      <c r="D38" s="36" t="n">
        <f aca="false">D9</f>
        <v>200000</v>
      </c>
      <c r="E38" s="36" t="n">
        <f aca="false">E9</f>
        <v>250000</v>
      </c>
      <c r="F38" s="36" t="n">
        <f aca="false">F9</f>
        <v>100000</v>
      </c>
      <c r="G38" s="36" t="n">
        <f aca="false">G9</f>
        <v>250000</v>
      </c>
      <c r="H38" s="36" t="n">
        <f aca="false">H9</f>
        <v>500000</v>
      </c>
      <c r="I38" s="4"/>
      <c r="J38" s="53"/>
    </row>
    <row r="39" customFormat="false" ht="15" hidden="false" customHeight="false" outlineLevel="0" collapsed="false">
      <c r="B39" s="4" t="s">
        <v>542</v>
      </c>
      <c r="C39" s="36" t="n">
        <f aca="false">C10+C11</f>
        <v>415000</v>
      </c>
      <c r="D39" s="36" t="n">
        <f aca="false">D10+D11</f>
        <v>553000</v>
      </c>
      <c r="E39" s="36" t="n">
        <f aca="false">E10+E11</f>
        <v>691000</v>
      </c>
      <c r="F39" s="36" t="n">
        <f aca="false">F10+F11</f>
        <v>277000</v>
      </c>
      <c r="G39" s="36" t="n">
        <f aca="false">G10+G11</f>
        <v>691000</v>
      </c>
      <c r="H39" s="36" t="n">
        <f aca="false">H10+H11</f>
        <v>1381000</v>
      </c>
      <c r="I39" s="4"/>
      <c r="J39" s="53"/>
    </row>
    <row r="40" customFormat="false" ht="15" hidden="false" customHeight="false" outlineLevel="0" collapsed="false">
      <c r="B40" s="4" t="s">
        <v>543</v>
      </c>
      <c r="C40" s="36" t="n">
        <f aca="false">C14</f>
        <v>10725</v>
      </c>
      <c r="D40" s="36" t="n">
        <f aca="false">D14</f>
        <v>14300</v>
      </c>
      <c r="E40" s="36" t="n">
        <f aca="false">E14</f>
        <v>17875</v>
      </c>
      <c r="F40" s="36" t="n">
        <f aca="false">F14</f>
        <v>7150</v>
      </c>
      <c r="G40" s="36" t="n">
        <f aca="false">G14</f>
        <v>17875</v>
      </c>
      <c r="H40" s="36" t="n">
        <f aca="false">H14</f>
        <v>35750</v>
      </c>
      <c r="I40" s="4"/>
      <c r="J40" s="53"/>
    </row>
    <row r="41" customFormat="false" ht="15" hidden="false" customHeight="false" outlineLevel="0" collapsed="false">
      <c r="B41" s="4" t="s">
        <v>544</v>
      </c>
      <c r="C41" s="36" t="n">
        <f aca="false">C15</f>
        <v>15092.68</v>
      </c>
      <c r="D41" s="36" t="n">
        <f aca="false">D15</f>
        <v>22833.65</v>
      </c>
      <c r="E41" s="36" t="n">
        <f aca="false">E15</f>
        <v>32611.38</v>
      </c>
      <c r="F41" s="36" t="n">
        <f aca="false">F15</f>
        <v>12648.45</v>
      </c>
      <c r="G41" s="36" t="n">
        <f aca="false">G15</f>
        <v>27926.15</v>
      </c>
      <c r="H41" s="36" t="n">
        <f aca="false">H15</f>
        <v>53388.95</v>
      </c>
      <c r="I41" s="4"/>
      <c r="J41" s="53"/>
    </row>
    <row r="42" customFormat="false" ht="15" hidden="false" customHeight="false" outlineLevel="0" collapsed="false">
      <c r="B42" s="4" t="s">
        <v>545</v>
      </c>
      <c r="C42" s="36" t="n">
        <f aca="false">C16+C17</f>
        <v>0</v>
      </c>
      <c r="D42" s="36" t="n">
        <f aca="false">D16+D17</f>
        <v>0</v>
      </c>
      <c r="E42" s="36" t="n">
        <f aca="false">E16+E17</f>
        <v>0</v>
      </c>
      <c r="F42" s="36" t="n">
        <f aca="false">F16+F17</f>
        <v>0</v>
      </c>
      <c r="G42" s="36" t="n">
        <f aca="false">G16+G17</f>
        <v>0</v>
      </c>
      <c r="H42" s="36" t="n">
        <f aca="false">H16+H17</f>
        <v>0</v>
      </c>
      <c r="I42" s="4"/>
      <c r="J42" s="53"/>
    </row>
    <row r="43" customFormat="false" ht="15" hidden="false" customHeight="false" outlineLevel="0" collapsed="false">
      <c r="B43" s="25" t="s">
        <v>546</v>
      </c>
      <c r="C43" s="54" t="n">
        <f aca="false">C12+C13</f>
        <v>97500</v>
      </c>
      <c r="D43" s="54" t="n">
        <f aca="false">D12+D13</f>
        <v>130000</v>
      </c>
      <c r="E43" s="54" t="n">
        <f aca="false">E12+E13</f>
        <v>162500</v>
      </c>
      <c r="F43" s="54" t="n">
        <f aca="false">F12+F13</f>
        <v>65000</v>
      </c>
      <c r="G43" s="54" t="n">
        <f aca="false">G12+G13</f>
        <v>162500</v>
      </c>
      <c r="H43" s="54" t="n">
        <f aca="false">H12+H13</f>
        <v>325000</v>
      </c>
      <c r="I43" s="4"/>
      <c r="J43" s="53"/>
    </row>
    <row r="44" customFormat="false" ht="15" hidden="false" customHeight="false" outlineLevel="0" collapsed="false">
      <c r="B44" s="4" t="s">
        <v>547</v>
      </c>
      <c r="C44" s="36" t="n">
        <f aca="false">SUM(C37:C43)-C18</f>
        <v>0</v>
      </c>
      <c r="D44" s="36" t="n">
        <f aca="false">SUM(D37:D43)-D18</f>
        <v>0</v>
      </c>
      <c r="E44" s="36" t="n">
        <f aca="false">SUM(E37:E43)-E18</f>
        <v>0</v>
      </c>
      <c r="F44" s="36" t="n">
        <f aca="false">SUM(F37:F43)-F18</f>
        <v>0</v>
      </c>
      <c r="G44" s="36" t="n">
        <f aca="false">SUM(G37:G43)-G18</f>
        <v>0</v>
      </c>
      <c r="H44" s="36" t="n">
        <f aca="false">SUM(H37:H43)-H18</f>
        <v>0</v>
      </c>
      <c r="I44" s="4"/>
      <c r="J44" s="53"/>
    </row>
    <row r="45" customFormat="false" ht="15" hidden="false" customHeight="false" outlineLevel="0" collapsed="false">
      <c r="B45" s="4" t="s">
        <v>548</v>
      </c>
      <c r="C45" s="40" t="n">
        <f aca="false">IF(C18&gt;0,(C37+C38+C39+C40+C41)/C18,0)</f>
        <v>0.955445225850389</v>
      </c>
      <c r="D45" s="40" t="n">
        <f aca="false">IF(D18&gt;0,(D37+D38+D39+D40+D41)/D18,0)</f>
        <v>0.955481489691405</v>
      </c>
      <c r="E45" s="40" t="n">
        <f aca="false">IF(E18&gt;0,(E37+E38+E39+E40+E41)/E18,0)</f>
        <v>0.955528022520982</v>
      </c>
      <c r="F45" s="40" t="n">
        <f aca="false">IF(F18&gt;0,(F37+F38+F39+F40+F41)/F18,0)</f>
        <v>0.955534225665652</v>
      </c>
      <c r="G45" s="40" t="n">
        <f aca="false">IF(G18&gt;0,(G37+G38+G39+G40+G41)/G18,0)</f>
        <v>0.955470926262142</v>
      </c>
      <c r="H45" s="40" t="n">
        <f aca="false">IF(H18&gt;0,(H37+H38+H39+H40+H41)/H18,0)</f>
        <v>0.955449786189474</v>
      </c>
      <c r="I45" s="4"/>
      <c r="J45" s="53"/>
    </row>
    <row r="46" customFormat="false" ht="15" hidden="false" customHeight="false" outlineLevel="0" collapsed="false">
      <c r="A46" s="7" t="s">
        <v>549</v>
      </c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B47" s="4" t="s">
        <v>550</v>
      </c>
      <c r="C47" s="36" t="n">
        <f aca="false">C12+C13</f>
        <v>97500</v>
      </c>
      <c r="D47" s="36" t="n">
        <f aca="false">D12+D13</f>
        <v>130000</v>
      </c>
      <c r="E47" s="36" t="n">
        <f aca="false">E12+E13</f>
        <v>162500</v>
      </c>
      <c r="F47" s="36" t="n">
        <f aca="false">F12+F13</f>
        <v>65000</v>
      </c>
      <c r="G47" s="36" t="n">
        <f aca="false">G12+G13</f>
        <v>162500</v>
      </c>
      <c r="H47" s="36" t="n">
        <f aca="false">H12+H13</f>
        <v>325000</v>
      </c>
      <c r="I47" s="4"/>
      <c r="J47" s="53"/>
    </row>
    <row r="48" customFormat="false" ht="15" hidden="false" customHeight="false" outlineLevel="0" collapsed="false">
      <c r="B48" s="4" t="s">
        <v>551</v>
      </c>
      <c r="C48" s="36" t="n">
        <f aca="false">-ROUND(C124*C13,0)</f>
        <v>-3750</v>
      </c>
      <c r="D48" s="36" t="n">
        <f aca="false">-ROUND(D124*D13,0)</f>
        <v>-4000</v>
      </c>
      <c r="E48" s="36" t="n">
        <f aca="false">-ROUND(E124*E13,0)</f>
        <v>-3750</v>
      </c>
      <c r="F48" s="36" t="n">
        <f aca="false">-ROUND(F124*F13,0)</f>
        <v>-2000</v>
      </c>
      <c r="G48" s="36" t="n">
        <f aca="false">-ROUND(G124*G13,0)</f>
        <v>-5000</v>
      </c>
      <c r="H48" s="36" t="n">
        <f aca="false">-ROUND(H124*H13,0)</f>
        <v>-10000</v>
      </c>
      <c r="I48" s="4"/>
      <c r="J48" s="53" t="s">
        <v>552</v>
      </c>
    </row>
    <row r="49" customFormat="false" ht="15" hidden="false" customHeight="false" outlineLevel="0" collapsed="false">
      <c r="B49" s="4" t="s">
        <v>553</v>
      </c>
      <c r="C49" s="36" t="n">
        <f aca="false">-C125</f>
        <v>-1957.72476224596</v>
      </c>
      <c r="D49" s="36" t="n">
        <f aca="false">-D125</f>
        <v>-3101.69217162075</v>
      </c>
      <c r="E49" s="36" t="n">
        <f aca="false">-E125</f>
        <v>-4800.79086198348</v>
      </c>
      <c r="F49" s="36" t="n">
        <f aca="false">-F125</f>
        <v>-3101.69217162075</v>
      </c>
      <c r="G49" s="36" t="n">
        <f aca="false">-G125</f>
        <v>-3101.69217162075</v>
      </c>
      <c r="H49" s="36" t="n">
        <f aca="false">-H125</f>
        <v>-3101.69217162075</v>
      </c>
      <c r="I49" s="4"/>
      <c r="J49" s="53" t="s">
        <v>554</v>
      </c>
    </row>
    <row r="50" customFormat="false" ht="15" hidden="false" customHeight="false" outlineLevel="0" collapsed="false">
      <c r="B50" s="25" t="s">
        <v>555</v>
      </c>
      <c r="C50" s="54" t="n">
        <f aca="false">SUM(C47:C49)</f>
        <v>91792.2752377541</v>
      </c>
      <c r="D50" s="54" t="n">
        <f aca="false">SUM(D47:D49)</f>
        <v>122898.307828379</v>
      </c>
      <c r="E50" s="54" t="n">
        <f aca="false">SUM(E47:E49)</f>
        <v>153949.209138017</v>
      </c>
      <c r="F50" s="54" t="n">
        <f aca="false">SUM(F47:F49)</f>
        <v>59898.3078283793</v>
      </c>
      <c r="G50" s="54" t="n">
        <f aca="false">SUM(G47:G49)</f>
        <v>154398.307828379</v>
      </c>
      <c r="H50" s="54" t="n">
        <f aca="false">SUM(H47:H49)</f>
        <v>311898.307828379</v>
      </c>
      <c r="I50" s="4"/>
      <c r="J50" s="53"/>
    </row>
    <row r="51" customFormat="false" ht="15" hidden="false" customHeight="false" outlineLevel="0" collapsed="false">
      <c r="B51" s="4" t="s">
        <v>556</v>
      </c>
      <c r="C51" s="36" t="n">
        <f aca="false">-C35</f>
        <v>-14637.8</v>
      </c>
      <c r="D51" s="36" t="n">
        <f aca="false">-D35</f>
        <v>-16233.3</v>
      </c>
      <c r="E51" s="36" t="n">
        <f aca="false">-E35</f>
        <v>-16528.14</v>
      </c>
      <c r="F51" s="36" t="n">
        <f aca="false">-F35</f>
        <v>-11722.15</v>
      </c>
      <c r="G51" s="36" t="n">
        <f aca="false">-G35</f>
        <v>-18489.05</v>
      </c>
      <c r="H51" s="36" t="n">
        <f aca="false">-H35</f>
        <v>-29768</v>
      </c>
      <c r="I51" s="4"/>
      <c r="J51" s="53"/>
    </row>
    <row r="52" customFormat="false" ht="15" hidden="false" customHeight="false" outlineLevel="0" collapsed="false">
      <c r="B52" s="4" t="s">
        <v>557</v>
      </c>
      <c r="C52" s="36" t="n">
        <f aca="false">-ROUND((C111+IF(C112&gt;0,MAX(C113,(C8+C9+C10+C11)*C112),0))*(1+C110),0)</f>
        <v>-27362</v>
      </c>
      <c r="D52" s="36" t="n">
        <f aca="false">-ROUND((D111+IF(D112&gt;0,MAX(D113,(D8+D9+D10+D11)*D112),0))*(1+D110),0)</f>
        <v>-4995</v>
      </c>
      <c r="E52" s="36" t="n">
        <f aca="false">-ROUND((E111+IF(E112&gt;0,MAX(E113,(E8+E9+E10+E11)*E112),0))*(1+E110),0)</f>
        <v>-4995</v>
      </c>
      <c r="F52" s="36" t="n">
        <f aca="false">-ROUND((F111+IF(F112&gt;0,MAX(F113,(F8+F9+F10+F11)*F112),0))*(1+F110),0)</f>
        <v>-4995</v>
      </c>
      <c r="G52" s="36" t="n">
        <f aca="false">-ROUND((G111+IF(G112&gt;0,MAX(G113,(G8+G9+G10+G11)*G112),0))*(1+G110),0)</f>
        <v>-4995</v>
      </c>
      <c r="H52" s="36" t="n">
        <f aca="false">-ROUND((H111+IF(H112&gt;0,MAX(H113,(H8+H9+H10+H11)*H112),0))*(1+H110),0)</f>
        <v>-4995</v>
      </c>
      <c r="I52" s="4"/>
      <c r="J52" s="53" t="s">
        <v>558</v>
      </c>
    </row>
    <row r="53" customFormat="false" ht="15" hidden="false" customHeight="false" outlineLevel="0" collapsed="false">
      <c r="B53" s="4" t="s">
        <v>559</v>
      </c>
      <c r="C53" s="36" t="n">
        <f aca="false">-ROUND(C118*C12,0)</f>
        <v>-13500</v>
      </c>
      <c r="D53" s="36" t="n">
        <f aca="false">-ROUND(D118*D12,0)</f>
        <v>-12000</v>
      </c>
      <c r="E53" s="36" t="n">
        <f aca="false">-ROUND(E118*E12,0)</f>
        <v>-11250</v>
      </c>
      <c r="F53" s="36" t="n">
        <f aca="false">-ROUND(F118*F12,0)</f>
        <v>-6000</v>
      </c>
      <c r="G53" s="36" t="n">
        <f aca="false">-ROUND(G118*G12,0)</f>
        <v>-15000</v>
      </c>
      <c r="H53" s="36" t="n">
        <f aca="false">-ROUND(H118*H12,0)</f>
        <v>-30000</v>
      </c>
      <c r="I53" s="4"/>
      <c r="J53" s="53" t="s">
        <v>560</v>
      </c>
    </row>
    <row r="54" customFormat="false" ht="15" hidden="false" customHeight="false" outlineLevel="0" collapsed="false">
      <c r="B54" s="4" t="s">
        <v>561</v>
      </c>
      <c r="C54" s="36" t="n">
        <f aca="false">-C119</f>
        <v>-12500</v>
      </c>
      <c r="D54" s="36" t="n">
        <f aca="false">-D119</f>
        <v>-10000</v>
      </c>
      <c r="E54" s="36" t="n">
        <f aca="false">-E119</f>
        <v>-8000</v>
      </c>
      <c r="F54" s="36" t="n">
        <f aca="false">-F119</f>
        <v>-10000</v>
      </c>
      <c r="G54" s="36" t="n">
        <f aca="false">-G119</f>
        <v>-10000</v>
      </c>
      <c r="H54" s="36" t="n">
        <f aca="false">-H119</f>
        <v>-10000</v>
      </c>
      <c r="I54" s="4"/>
      <c r="J54" s="53"/>
    </row>
    <row r="55" customFormat="false" ht="15" hidden="false" customHeight="false" outlineLevel="0" collapsed="false">
      <c r="B55" s="4" t="s">
        <v>562</v>
      </c>
      <c r="C55" s="36" t="n">
        <f aca="false">-ROUND(C117*C121*C122*C123,0)</f>
        <v>-358</v>
      </c>
      <c r="D55" s="36" t="n">
        <f aca="false">-ROUND(D117*D121*D122*D123,0)</f>
        <v>-224</v>
      </c>
      <c r="E55" s="36" t="n">
        <f aca="false">-ROUND(E117*E121*E122*E123,0)</f>
        <v>-161</v>
      </c>
      <c r="F55" s="36" t="n">
        <f aca="false">-ROUND(F117*F121*F122*F123,0)</f>
        <v>-224</v>
      </c>
      <c r="G55" s="36" t="n">
        <f aca="false">-ROUND(G117*G121*G122*G123,0)</f>
        <v>-224</v>
      </c>
      <c r="H55" s="36" t="n">
        <f aca="false">-ROUND(H117*H121*H122*H123,0)</f>
        <v>-224</v>
      </c>
      <c r="I55" s="4"/>
      <c r="J55" s="53"/>
    </row>
    <row r="56" customFormat="false" ht="15" hidden="false" customHeight="false" outlineLevel="0" collapsed="false">
      <c r="B56" s="4" t="s">
        <v>563</v>
      </c>
      <c r="C56" s="36" t="n">
        <f aca="false">-ROUND(C120/(1-C120)*C63,0)</f>
        <v>-4084</v>
      </c>
      <c r="D56" s="36" t="n">
        <f aca="false">-ROUND(D120/(1-D120)*D63,0)</f>
        <v>-2188</v>
      </c>
      <c r="E56" s="36" t="n">
        <f aca="false">-ROUND(E120/(1-E120)*E63,0)</f>
        <v>-2131</v>
      </c>
      <c r="F56" s="36" t="n">
        <f aca="false">-ROUND(F120/(1-F120)*F63,0)</f>
        <v>-1414</v>
      </c>
      <c r="G56" s="36" t="n">
        <f aca="false">-ROUND(G120/(1-G120)*G63,0)</f>
        <v>-2574</v>
      </c>
      <c r="H56" s="36" t="n">
        <f aca="false">-ROUND(H120/(1-H120)*H63,0)</f>
        <v>-4508</v>
      </c>
      <c r="I56" s="4"/>
      <c r="J56" s="53" t="s">
        <v>564</v>
      </c>
    </row>
    <row r="57" customFormat="false" ht="15" hidden="false" customHeight="false" outlineLevel="0" collapsed="false">
      <c r="B57" s="25" t="s">
        <v>565</v>
      </c>
      <c r="C57" s="54" t="n">
        <f aca="false">SUM(C50:C56)</f>
        <v>19350.475237754</v>
      </c>
      <c r="D57" s="54" t="n">
        <f aca="false">SUM(D50:D56)</f>
        <v>77258.0078283793</v>
      </c>
      <c r="E57" s="54" t="n">
        <f aca="false">SUM(E50:E56)</f>
        <v>110884.069138017</v>
      </c>
      <c r="F57" s="54" t="n">
        <f aca="false">SUM(F50:F56)</f>
        <v>25543.1578283793</v>
      </c>
      <c r="G57" s="54" t="n">
        <f aca="false">SUM(G50:G56)</f>
        <v>103116.257828379</v>
      </c>
      <c r="H57" s="54" t="n">
        <f aca="false">SUM(H50:H56)</f>
        <v>232403.307828379</v>
      </c>
      <c r="I57" s="4"/>
      <c r="J57" s="53"/>
    </row>
    <row r="58" customFormat="false" ht="15" hidden="false" customHeight="false" outlineLevel="0" collapsed="false">
      <c r="B58" s="4" t="s">
        <v>566</v>
      </c>
      <c r="C58" s="36" t="n">
        <f aca="false">-SUM(C51:C56)</f>
        <v>72441.8</v>
      </c>
      <c r="D58" s="36" t="n">
        <f aca="false">-SUM(D51:D56)</f>
        <v>45640.3</v>
      </c>
      <c r="E58" s="36" t="n">
        <f aca="false">-SUM(E51:E56)</f>
        <v>43065.14</v>
      </c>
      <c r="F58" s="36" t="n">
        <f aca="false">-SUM(F51:F56)</f>
        <v>34355.15</v>
      </c>
      <c r="G58" s="36" t="n">
        <f aca="false">-SUM(G51:G56)</f>
        <v>51282.05</v>
      </c>
      <c r="H58" s="36" t="n">
        <f aca="false">-SUM(H51:H56)</f>
        <v>79495</v>
      </c>
      <c r="I58" s="4"/>
      <c r="J58" s="53"/>
    </row>
    <row r="59" customFormat="false" ht="15" hidden="false" customHeight="false" outlineLevel="0" collapsed="false">
      <c r="B59" s="4" t="s">
        <v>56</v>
      </c>
      <c r="C59" s="40" t="n">
        <f aca="false">IF(C50&lt;&gt;0,C57/C50,0)</f>
        <v>0.210807229558629</v>
      </c>
      <c r="D59" s="40" t="n">
        <f aca="false">IF(D50&lt;&gt;0,D57/D50,0)</f>
        <v>0.628633617447897</v>
      </c>
      <c r="E59" s="40" t="n">
        <f aca="false">IF(E50&lt;&gt;0,E57/E50,0)</f>
        <v>0.720263973805856</v>
      </c>
      <c r="F59" s="40" t="n">
        <f aca="false">IF(F50&lt;&gt;0,F57/F50,0)</f>
        <v>0.42644206079353</v>
      </c>
      <c r="G59" s="40" t="n">
        <f aca="false">IF(G50&lt;&gt;0,G57/G50,0)</f>
        <v>0.667858730310682</v>
      </c>
      <c r="H59" s="40" t="n">
        <f aca="false">IF(H50&lt;&gt;0,H57/H50,0)</f>
        <v>0.745125260366139</v>
      </c>
      <c r="I59" s="4"/>
      <c r="J59" s="53"/>
    </row>
    <row r="60" customFormat="false" ht="15" hidden="false" customHeight="false" outlineLevel="0" collapsed="false">
      <c r="B60" s="4" t="s">
        <v>567</v>
      </c>
      <c r="C60" s="38" t="n">
        <f aca="false">IF(C18&gt;0,C47/C18,0)</f>
        <v>0.0445547741496107</v>
      </c>
      <c r="D60" s="38" t="n">
        <f aca="false">IF(D18&gt;0,D47/D18,0)</f>
        <v>0.044518510308595</v>
      </c>
      <c r="E60" s="38" t="n">
        <f aca="false">IF(E18&gt;0,E47/E18,0)</f>
        <v>0.0444719774790184</v>
      </c>
      <c r="F60" s="38" t="n">
        <f aca="false">IF(F18&gt;0,F47/F18,0)</f>
        <v>0.0444657743343482</v>
      </c>
      <c r="G60" s="38" t="n">
        <f aca="false">IF(G18&gt;0,G47/G18,0)</f>
        <v>0.044529073737858</v>
      </c>
      <c r="H60" s="38" t="n">
        <f aca="false">IF(H18&gt;0,H47/H18,0)</f>
        <v>0.0445502138105265</v>
      </c>
      <c r="I60" s="4"/>
      <c r="J60" s="53"/>
    </row>
    <row r="61" customFormat="false" ht="15" hidden="false" customHeight="false" outlineLevel="0" collapsed="false">
      <c r="B61" s="4" t="s">
        <v>568</v>
      </c>
      <c r="C61" s="38" t="n">
        <f aca="false">IF(C8&gt;0,C47/C8,0)</f>
        <v>0.065</v>
      </c>
      <c r="D61" s="38" t="n">
        <f aca="false">IF(D8&gt;0,D47/D8,0)</f>
        <v>0.065</v>
      </c>
      <c r="E61" s="38" t="n">
        <f aca="false">IF(E8&gt;0,E47/E8,0)</f>
        <v>0.065</v>
      </c>
      <c r="F61" s="38" t="n">
        <f aca="false">IF(F8&gt;0,F47/F8,0)</f>
        <v>0.065</v>
      </c>
      <c r="G61" s="38" t="n">
        <f aca="false">IF(G8&gt;0,G47/G8,0)</f>
        <v>0.065</v>
      </c>
      <c r="H61" s="38" t="n">
        <f aca="false">IF(H8&gt;0,H47/H8,0)</f>
        <v>0.065</v>
      </c>
      <c r="I61" s="4"/>
      <c r="J61" s="53"/>
    </row>
    <row r="62" customFormat="false" ht="15" hidden="false" customHeight="false" outlineLevel="0" collapsed="false">
      <c r="B62" s="4" t="s">
        <v>569</v>
      </c>
      <c r="C62" s="38" t="n">
        <f aca="false">IF(C18&gt;0,C50/C18,0)</f>
        <v>0.0419465035066362</v>
      </c>
      <c r="D62" s="38" t="n">
        <f aca="false">IF(D18&gt;0,D50/D18,0)</f>
        <v>0.0420865352612814</v>
      </c>
      <c r="E62" s="38" t="n">
        <f aca="false">IF(E18&gt;0,E50/E18,0)</f>
        <v>0.0421318508412219</v>
      </c>
      <c r="F62" s="38" t="n">
        <f aca="false">IF(F18&gt;0,F50/F18,0)</f>
        <v>0.0409757636754775</v>
      </c>
      <c r="G62" s="38" t="n">
        <f aca="false">IF(G18&gt;0,G50/G18,0)</f>
        <v>0.0423090069802486</v>
      </c>
      <c r="H62" s="38" t="n">
        <f aca="false">IF(H18&gt;0,H50/H18,0)</f>
        <v>0.0427542655412176</v>
      </c>
      <c r="I62" s="4"/>
      <c r="J62" s="53"/>
    </row>
    <row r="63" customFormat="false" ht="15" hidden="false" customHeight="false" outlineLevel="0" collapsed="false">
      <c r="B63" s="4" t="s">
        <v>570</v>
      </c>
      <c r="C63" s="36" t="n">
        <f aca="false">ROUND(C34+C114*ROUND((C111+IF(C112&gt;0,MAX(C113,C18*C112),0))*(1+C110),0),0)</f>
        <v>46968</v>
      </c>
      <c r="D63" s="36" t="n">
        <f aca="false">ROUND(D34+D114*ROUND((D111+IF(D112&gt;0,MAX(D113,D18*D112),0))*(1+D110),0),0)</f>
        <v>41564</v>
      </c>
      <c r="E63" s="36" t="n">
        <f aca="false">ROUND(E34+E114*ROUND((E111+IF(E112&gt;0,MAX(E113,E18*E112),0))*(1+E110),0),0)</f>
        <v>51138</v>
      </c>
      <c r="F63" s="36" t="n">
        <f aca="false">ROUND(F34+F114*ROUND((F111+IF(F112&gt;0,MAX(F113,F18*F112),0))*(1+F110),0),0)</f>
        <v>26868</v>
      </c>
      <c r="G63" s="36" t="n">
        <f aca="false">ROUND(G34+G114*ROUND((G111+IF(G112&gt;0,MAX(G113,G18*G112),0))*(1+G110),0),0)</f>
        <v>48913</v>
      </c>
      <c r="H63" s="36" t="n">
        <f aca="false">ROUND(H34+H114*ROUND((H111+IF(H112&gt;0,MAX(H113,H18*H112),0))*(1+H110),0),0)</f>
        <v>85654</v>
      </c>
      <c r="I63" s="4"/>
      <c r="J63" s="53" t="s">
        <v>571</v>
      </c>
    </row>
    <row r="64" customFormat="false" ht="15" hidden="false" customHeight="false" outlineLevel="0" collapsed="false">
      <c r="B64" s="4" t="s">
        <v>572</v>
      </c>
      <c r="C64" s="36" t="n">
        <f aca="false">ROUND((C111+IF(C112&gt;0,MAX(C113,1*C112),0))*(1+C110),0)</f>
        <v>7215</v>
      </c>
      <c r="D64" s="36" t="n">
        <f aca="false">ROUND((D111+IF(D112&gt;0,MAX(D113,1*D112),0))*(1+D110),0)</f>
        <v>4995</v>
      </c>
      <c r="E64" s="36" t="n">
        <f aca="false">ROUND((E111+IF(E112&gt;0,MAX(E113,1*E112),0))*(1+E110),0)</f>
        <v>4995</v>
      </c>
      <c r="F64" s="36" t="n">
        <f aca="false">ROUND((F111+IF(F112&gt;0,MAX(F113,1*F112),0))*(1+F110),0)</f>
        <v>4995</v>
      </c>
      <c r="G64" s="36" t="n">
        <f aca="false">ROUND((G111+IF(G112&gt;0,MAX(G113,1*G112),0))*(1+G110),0)</f>
        <v>4995</v>
      </c>
      <c r="H64" s="36" t="n">
        <f aca="false">ROUND((H111+IF(H112&gt;0,MAX(H113,1*H112),0))*(1+H110),0)</f>
        <v>4995</v>
      </c>
      <c r="I64" s="4"/>
      <c r="J64" s="53" t="s">
        <v>573</v>
      </c>
    </row>
    <row r="65" customFormat="false" ht="15" hidden="false" customHeight="false" outlineLevel="0" collapsed="false">
      <c r="B65" s="4" t="s">
        <v>574</v>
      </c>
      <c r="C65" s="36" t="n">
        <f aca="false">C12+C53</f>
        <v>9000</v>
      </c>
      <c r="D65" s="36" t="n">
        <f aca="false">D12+D53</f>
        <v>18000</v>
      </c>
      <c r="E65" s="36" t="n">
        <f aca="false">E12+E53</f>
        <v>26250</v>
      </c>
      <c r="F65" s="36" t="n">
        <f aca="false">F12+F53</f>
        <v>9000</v>
      </c>
      <c r="G65" s="36" t="n">
        <f aca="false">G12+G53</f>
        <v>22500</v>
      </c>
      <c r="H65" s="36" t="n">
        <f aca="false">H12+H53</f>
        <v>45000</v>
      </c>
      <c r="I65" s="4"/>
      <c r="J65" s="53" t="s">
        <v>575</v>
      </c>
    </row>
    <row r="66" customFormat="false" ht="15" hidden="false" customHeight="false" outlineLevel="0" collapsed="false">
      <c r="A66" s="7" t="s">
        <v>576</v>
      </c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B67" s="4" t="s">
        <v>577</v>
      </c>
      <c r="C67" s="52" t="n">
        <f aca="false">IF(C127&gt;0,1+C126*(1-C127)*(1-(1-C127)^11)/C127,1+11*C126)</f>
        <v>1.4940563708152</v>
      </c>
      <c r="D67" s="52" t="n">
        <f aca="false">IF(D127&gt;0,1+D126*(1-D127)*(1-(1-D127)^11)/D127,1+11*D126)</f>
        <v>1.6904170154314</v>
      </c>
      <c r="E67" s="52" t="n">
        <f aca="false">IF(E127&gt;0,1+E126*(1-E127)*(1-(1-E127)^11)/E127,1+11*E126)</f>
        <v>1.92815937037149</v>
      </c>
      <c r="F67" s="52" t="n">
        <f aca="false">IF(F127&gt;0,1+F126*(1-F127)*(1-(1-F127)^11)/F127,1+11*F126)</f>
        <v>1.6904170154314</v>
      </c>
      <c r="G67" s="52" t="n">
        <f aca="false">IF(G127&gt;0,1+G126*(1-G127)*(1-(1-G127)^11)/G127,1+11*G126)</f>
        <v>1.6904170154314</v>
      </c>
      <c r="H67" s="52" t="n">
        <f aca="false">IF(H127&gt;0,1+H126*(1-H127)*(1-(1-H127)^11)/H127,1+11*H126)</f>
        <v>1.6904170154314</v>
      </c>
      <c r="I67" s="4"/>
      <c r="J67" s="53"/>
    </row>
    <row r="68" customFormat="false" ht="15" hidden="false" customHeight="false" outlineLevel="0" collapsed="false">
      <c r="B68" s="4" t="s">
        <v>578</v>
      </c>
      <c r="C68" s="36" t="n">
        <f aca="false">C67*C57</f>
        <v>28910.7008072682</v>
      </c>
      <c r="D68" s="36" t="n">
        <f aca="false">D67*D57</f>
        <v>130598.251011424</v>
      </c>
      <c r="E68" s="36" t="n">
        <f aca="false">E67*E57</f>
        <v>213802.156933387</v>
      </c>
      <c r="F68" s="36" t="n">
        <f aca="false">F67*F57</f>
        <v>43178.588620942</v>
      </c>
      <c r="G68" s="36" t="n">
        <f aca="false">G67*G57</f>
        <v>174309.476800703</v>
      </c>
      <c r="H68" s="36" t="n">
        <f aca="false">H67*H57</f>
        <v>392858.505995633</v>
      </c>
      <c r="I68" s="4"/>
      <c r="J68" s="53"/>
    </row>
    <row r="69" customFormat="false" ht="15" hidden="false" customHeight="false" outlineLevel="0" collapsed="false">
      <c r="B69" s="4" t="s">
        <v>579</v>
      </c>
      <c r="C69" s="36" t="n">
        <f aca="false">C128*C68</f>
        <v>9540.53126639851</v>
      </c>
      <c r="D69" s="36" t="n">
        <f aca="false">D128*D68</f>
        <v>43097.4228337701</v>
      </c>
      <c r="E69" s="36" t="n">
        <f aca="false">E128*E68</f>
        <v>70554.7117880178</v>
      </c>
      <c r="F69" s="36" t="n">
        <f aca="false">F128*F68</f>
        <v>14248.9342449109</v>
      </c>
      <c r="G69" s="36" t="n">
        <f aca="false">G128*G68</f>
        <v>57522.1273442321</v>
      </c>
      <c r="H69" s="36" t="n">
        <f aca="false">H128*H68</f>
        <v>129643.306978559</v>
      </c>
      <c r="I69" s="4"/>
      <c r="J69" s="53"/>
    </row>
    <row r="70" customFormat="false" ht="15" hidden="false" customHeight="false" outlineLevel="0" collapsed="false">
      <c r="B70" s="4" t="s">
        <v>580</v>
      </c>
      <c r="C70" s="36" t="n">
        <f aca="false">C129+ROUND(C130*C131*C123,0)</f>
        <v>373726</v>
      </c>
      <c r="D70" s="36" t="n">
        <f aca="false">D129+ROUND(D130*D131*D123,0)</f>
        <v>265817</v>
      </c>
      <c r="E70" s="36" t="n">
        <f aca="false">E129+ROUND(E130*E131*E123,0)</f>
        <v>191863</v>
      </c>
      <c r="F70" s="36" t="n">
        <f aca="false">F129+ROUND(F130*F131*F123,0)</f>
        <v>265817</v>
      </c>
      <c r="G70" s="36" t="n">
        <f aca="false">G129+ROUND(G130*G131*G123,0)</f>
        <v>265817</v>
      </c>
      <c r="H70" s="36" t="n">
        <f aca="false">H129+ROUND(H130*H131*H123,0)</f>
        <v>265817</v>
      </c>
      <c r="I70" s="4"/>
      <c r="J70" s="53"/>
    </row>
    <row r="71" customFormat="false" ht="15" hidden="false" customHeight="false" outlineLevel="0" collapsed="false">
      <c r="B71" s="4" t="s">
        <v>581</v>
      </c>
      <c r="C71" s="52" t="n">
        <f aca="false">IF(C68&gt;0,C70/C68,0)</f>
        <v>12.9269090532058</v>
      </c>
      <c r="D71" s="52" t="n">
        <f aca="false">IF(D68&gt;0,D70/D68,0)</f>
        <v>2.03537947821941</v>
      </c>
      <c r="E71" s="52" t="n">
        <f aca="false">IF(E68&gt;0,E70/E68,0)</f>
        <v>0.897385708132858</v>
      </c>
      <c r="F71" s="52" t="n">
        <f aca="false">IF(F68&gt;0,F70/F68,0)</f>
        <v>6.15622252810451</v>
      </c>
      <c r="G71" s="52" t="n">
        <f aca="false">IF(G68&gt;0,G70/G68,0)</f>
        <v>1.52497159006404</v>
      </c>
      <c r="H71" s="52" t="n">
        <f aca="false">IF(H68&gt;0,H70/H68,0)</f>
        <v>0.676622743158716</v>
      </c>
      <c r="I71" s="4"/>
      <c r="J71" s="53"/>
    </row>
    <row r="72" customFormat="false" ht="15" hidden="false" customHeight="false" outlineLevel="0" collapsed="false">
      <c r="B72" s="4" t="s">
        <v>582</v>
      </c>
      <c r="C72" s="34" t="str">
        <f aca="false">IF(C68&lt;=0,"LTV negatif",IF(C71&lt;=C128,"Lolos","Melewati guardrail"))</f>
        <v>Melewati guardrail</v>
      </c>
      <c r="D72" s="34" t="str">
        <f aca="false">IF(D68&lt;=0,"LTV negatif",IF(D71&lt;=D128,"Lolos","Melewati guardrail"))</f>
        <v>Melewati guardrail</v>
      </c>
      <c r="E72" s="34" t="str">
        <f aca="false">IF(E68&lt;=0,"LTV negatif",IF(E71&lt;=E128,"Lolos","Melewati guardrail"))</f>
        <v>Melewati guardrail</v>
      </c>
      <c r="F72" s="34" t="str">
        <f aca="false">IF(F68&lt;=0,"LTV negatif",IF(F71&lt;=F128,"Lolos","Melewati guardrail"))</f>
        <v>Melewati guardrail</v>
      </c>
      <c r="G72" s="34" t="str">
        <f aca="false">IF(G68&lt;=0,"LTV negatif",IF(G71&lt;=G128,"Lolos","Melewati guardrail"))</f>
        <v>Melewati guardrail</v>
      </c>
      <c r="H72" s="34" t="str">
        <f aca="false">IF(H68&lt;=0,"LTV negatif",IF(H71&lt;=H128,"Lolos","Melewati guardrail"))</f>
        <v>Melewati guardrail</v>
      </c>
      <c r="I72" s="4"/>
      <c r="J72" s="53"/>
    </row>
    <row r="73" customFormat="false" ht="15" hidden="false" customHeight="false" outlineLevel="0" collapsed="false">
      <c r="A73" s="7" t="s">
        <v>583</v>
      </c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B74" s="4" t="s">
        <v>584</v>
      </c>
      <c r="C74" s="34" t="str">
        <f aca="false">IF(C8&gt;=C132,"OK","Di bawah minimum")</f>
        <v>OK</v>
      </c>
      <c r="D74" s="34" t="str">
        <f aca="false">IF(D8&gt;=D132,"OK","Di bawah minimum")</f>
        <v>OK</v>
      </c>
      <c r="E74" s="34" t="str">
        <f aca="false">IF(E8&gt;=E132,"OK","Di bawah minimum")</f>
        <v>OK</v>
      </c>
      <c r="F74" s="34" t="str">
        <f aca="false">IF(F8&gt;=F132,"OK","Di bawah minimum")</f>
        <v>OK</v>
      </c>
      <c r="G74" s="34" t="str">
        <f aca="false">IF(G8&gt;=G132,"OK","Di bawah minimum")</f>
        <v>OK</v>
      </c>
      <c r="H74" s="34" t="str">
        <f aca="false">IF(H8&gt;=H132,"OK","Di bawah minimum")</f>
        <v>OK</v>
      </c>
      <c r="I74" s="4"/>
      <c r="J74" s="53"/>
    </row>
    <row r="75" customFormat="false" ht="23.85" hidden="false" customHeight="false" outlineLevel="0" collapsed="false">
      <c r="B75" s="4" t="s">
        <v>585</v>
      </c>
      <c r="C75" s="34" t="str">
        <f aca="false">IF(C18&lt;=C133,"OK","Butuh traveler ≥ 3 transaksi selesai")</f>
        <v>OK</v>
      </c>
      <c r="D75" s="34" t="str">
        <f aca="false">IF(D18&lt;=D133,"OK","Butuh traveler ≥ 3 transaksi selesai")</f>
        <v>OK</v>
      </c>
      <c r="E75" s="34" t="str">
        <f aca="false">IF(E18&lt;=E133,"OK","Butuh traveler ≥ 3 transaksi selesai")</f>
        <v>OK</v>
      </c>
      <c r="F75" s="34" t="str">
        <f aca="false">IF(F18&lt;=F133,"OK","Butuh traveler ≥ 3 transaksi selesai")</f>
        <v>OK</v>
      </c>
      <c r="G75" s="34" t="str">
        <f aca="false">IF(G18&lt;=G133,"OK","Butuh traveler ≥ 3 transaksi selesai")</f>
        <v>OK</v>
      </c>
      <c r="H75" s="34" t="str">
        <f aca="false">IF(H18&lt;=H133,"OK","Butuh traveler ≥ 3 transaksi selesai")</f>
        <v>Butuh traveler ≥ 3 transaksi selesai</v>
      </c>
      <c r="I75" s="4"/>
      <c r="J75" s="53"/>
    </row>
    <row r="76" customFormat="false" ht="15" hidden="false" customHeight="false" outlineLevel="0" collapsed="false">
      <c r="B76" s="4" t="s">
        <v>586</v>
      </c>
      <c r="C76" s="34" t="str">
        <f aca="false">IF(C18&lt;=C134,"OK","QRIS tidak tersedia")</f>
        <v>OK</v>
      </c>
      <c r="D76" s="34" t="str">
        <f aca="false">IF(D18&lt;=D134,"OK","QRIS tidak tersedia")</f>
        <v>OK</v>
      </c>
      <c r="E76" s="34" t="str">
        <f aca="false">IF(E18&lt;=E134,"OK","QRIS tidak tersedia")</f>
        <v>OK</v>
      </c>
      <c r="F76" s="34" t="str">
        <f aca="false">IF(F18&lt;=F134,"OK","QRIS tidak tersedia")</f>
        <v>OK</v>
      </c>
      <c r="G76" s="34" t="str">
        <f aca="false">IF(G18&lt;=G134,"OK","QRIS tidak tersedia")</f>
        <v>OK</v>
      </c>
      <c r="H76" s="34" t="str">
        <f aca="false">IF(H18&lt;=H134,"OK","QRIS tidak tersedia")</f>
        <v>OK</v>
      </c>
      <c r="I76" s="4"/>
      <c r="J76" s="53"/>
    </row>
    <row r="77" customFormat="false" ht="15" hidden="false" customHeight="false" outlineLevel="0" collapsed="false">
      <c r="B77" s="4" t="s">
        <v>587</v>
      </c>
      <c r="C77" s="34" t="str">
        <f aca="false">IF(C18&lt;=C135,"Level 2",IF(C18&lt;=C136,"Level 3",IF(C18&lt;=C137,"Level 4","Level 5")))</f>
        <v>Level 2</v>
      </c>
      <c r="D77" s="34" t="str">
        <f aca="false">IF(D18&lt;=D135,"Level 2",IF(D18&lt;=D136,"Level 3",IF(D18&lt;=D137,"Level 4","Level 5")))</f>
        <v>Level 2</v>
      </c>
      <c r="E77" s="34" t="str">
        <f aca="false">IF(E18&lt;=E135,"Level 2",IF(E18&lt;=E136,"Level 3",IF(E18&lt;=E137,"Level 4","Level 5")))</f>
        <v>Level 3</v>
      </c>
      <c r="F77" s="34" t="str">
        <f aca="false">IF(F18&lt;=F135,"Level 2",IF(F18&lt;=F136,"Level 3",IF(F18&lt;=F137,"Level 4","Level 5")))</f>
        <v>Level 2</v>
      </c>
      <c r="G77" s="34" t="str">
        <f aca="false">IF(G18&lt;=G135,"Level 2",IF(G18&lt;=G136,"Level 3",IF(G18&lt;=G137,"Level 4","Level 5")))</f>
        <v>Level 3</v>
      </c>
      <c r="H77" s="34" t="str">
        <f aca="false">IF(H18&lt;=H135,"Level 2",IF(H18&lt;=H136,"Level 3",IF(H18&lt;=H137,"Level 4","Level 5")))</f>
        <v>Level 3</v>
      </c>
      <c r="I77" s="4"/>
      <c r="J77" s="53"/>
    </row>
    <row r="78" customFormat="false" ht="15" hidden="false" customHeight="false" outlineLevel="0" collapsed="false">
      <c r="B78" s="4" t="s">
        <v>588</v>
      </c>
      <c r="C78" s="34" t="str">
        <f aca="false">IF(ROUND(C8*C80,0)&lt;C81,"Naik ke minimum",IF(ROUND(C8*C80,0)&gt;ROUNDDOWN(C8*C82,0),"Dipotong ke maks","Normal"))</f>
        <v>Normal</v>
      </c>
      <c r="D78" s="34" t="str">
        <f aca="false">IF(ROUND(D8*D80,0)&lt;D81,"Naik ke minimum",IF(ROUND(D8*D80,0)&gt;ROUNDDOWN(D8*D82,0),"Dipotong ke maks","Normal"))</f>
        <v>Normal</v>
      </c>
      <c r="E78" s="34" t="str">
        <f aca="false">IF(ROUND(E8*E80,0)&lt;E81,"Naik ke minimum",IF(ROUND(E8*E80,0)&gt;ROUNDDOWN(E8*E82,0),"Dipotong ke maks","Normal"))</f>
        <v>Normal</v>
      </c>
      <c r="F78" s="34" t="str">
        <f aca="false">IF(ROUND(F8*F80,0)&lt;F81,"Naik ke minimum",IF(ROUND(F8*F80,0)&gt;ROUNDDOWN(F8*F82,0),"Dipotong ke maks","Normal"))</f>
        <v>Normal</v>
      </c>
      <c r="G78" s="34" t="str">
        <f aca="false">IF(ROUND(G8*G80,0)&lt;G81,"Naik ke minimum",IF(ROUND(G8*G80,0)&gt;ROUNDDOWN(G8*G82,0),"Dipotong ke maks","Normal"))</f>
        <v>Normal</v>
      </c>
      <c r="H78" s="34" t="str">
        <f aca="false">IF(ROUND(H8*H80,0)&lt;H81,"Naik ke minimum",IF(ROUND(H8*H80,0)&gt;ROUNDDOWN(H8*H82,0),"Dipotong ke maks","Normal"))</f>
        <v>Normal</v>
      </c>
      <c r="I78" s="4"/>
      <c r="J78" s="53"/>
    </row>
    <row r="79" customFormat="false" ht="15" hidden="false" customHeight="false" outlineLevel="0" collapsed="false">
      <c r="A79" s="7" t="s">
        <v>589</v>
      </c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" hidden="false" customHeight="false" outlineLevel="0" collapsed="false">
      <c r="B80" s="4" t="s">
        <v>590</v>
      </c>
      <c r="C80" s="11" t="n">
        <f aca="false">INDEX(Asumsi!$D$59:$F$59,C$5)</f>
        <v>0.1</v>
      </c>
      <c r="D80" s="11" t="n">
        <f aca="false">INDEX(Asumsi!$D$59:$F$59,D$5)</f>
        <v>0.1</v>
      </c>
      <c r="E80" s="11" t="n">
        <f aca="false">INDEX(Asumsi!$D$59:$F$59,E$5)</f>
        <v>0.1</v>
      </c>
      <c r="F80" s="11" t="n">
        <f aca="false">INDEX(Asumsi!$D$59:$F$59,F$5)</f>
        <v>0.1</v>
      </c>
      <c r="G80" s="11" t="n">
        <f aca="false">INDEX(Asumsi!$D$59:$F$59,G$5)</f>
        <v>0.1</v>
      </c>
      <c r="H80" s="11" t="n">
        <f aca="false">INDEX(Asumsi!$D$59:$F$59,H$5)</f>
        <v>0.1</v>
      </c>
      <c r="I80" s="4"/>
      <c r="J80" s="53"/>
    </row>
    <row r="81" customFormat="false" ht="15" hidden="false" customHeight="false" outlineLevel="0" collapsed="false">
      <c r="B81" s="4" t="s">
        <v>591</v>
      </c>
      <c r="C81" s="9" t="n">
        <f aca="false">INDEX(Asumsi!$D$24:$F$24,C$5)</f>
        <v>25000</v>
      </c>
      <c r="D81" s="9" t="n">
        <f aca="false">INDEX(Asumsi!$D$24:$F$24,D$5)</f>
        <v>25000</v>
      </c>
      <c r="E81" s="9" t="n">
        <f aca="false">INDEX(Asumsi!$D$24:$F$24,E$5)</f>
        <v>25000</v>
      </c>
      <c r="F81" s="9" t="n">
        <f aca="false">INDEX(Asumsi!$D$24:$F$24,F$5)</f>
        <v>25000</v>
      </c>
      <c r="G81" s="9" t="n">
        <f aca="false">INDEX(Asumsi!$D$24:$F$24,G$5)</f>
        <v>25000</v>
      </c>
      <c r="H81" s="9" t="n">
        <f aca="false">INDEX(Asumsi!$D$24:$F$24,H$5)</f>
        <v>25000</v>
      </c>
      <c r="I81" s="4"/>
      <c r="J81" s="53"/>
    </row>
    <row r="82" customFormat="false" ht="15" hidden="false" customHeight="false" outlineLevel="0" collapsed="false">
      <c r="B82" s="4" t="s">
        <v>592</v>
      </c>
      <c r="C82" s="11" t="n">
        <f aca="false">INDEX(Asumsi!$D$25:$F$25,C$5)</f>
        <v>0.3</v>
      </c>
      <c r="D82" s="11" t="n">
        <f aca="false">INDEX(Asumsi!$D$25:$F$25,D$5)</f>
        <v>0.3</v>
      </c>
      <c r="E82" s="11" t="n">
        <f aca="false">INDEX(Asumsi!$D$25:$F$25,E$5)</f>
        <v>0.3</v>
      </c>
      <c r="F82" s="11" t="n">
        <f aca="false">INDEX(Asumsi!$D$25:$F$25,F$5)</f>
        <v>0.3</v>
      </c>
      <c r="G82" s="11" t="n">
        <f aca="false">INDEX(Asumsi!$D$25:$F$25,G$5)</f>
        <v>0.3</v>
      </c>
      <c r="H82" s="11" t="n">
        <f aca="false">INDEX(Asumsi!$D$25:$F$25,H$5)</f>
        <v>0.3</v>
      </c>
      <c r="I82" s="4"/>
      <c r="J82" s="53"/>
    </row>
    <row r="83" customFormat="false" ht="15" hidden="false" customHeight="false" outlineLevel="0" collapsed="false">
      <c r="B83" s="4" t="s">
        <v>593</v>
      </c>
      <c r="C83" s="11" t="n">
        <f aca="false">INDEX(Asumsi!$D$60:$F$60,C$5)</f>
        <v>0.1</v>
      </c>
      <c r="D83" s="11" t="n">
        <f aca="false">INDEX(Asumsi!$D$60:$F$60,D$5)</f>
        <v>0.1</v>
      </c>
      <c r="E83" s="11" t="n">
        <f aca="false">INDEX(Asumsi!$D$60:$F$60,E$5)</f>
        <v>0.1</v>
      </c>
      <c r="F83" s="11" t="n">
        <f aca="false">INDEX(Asumsi!$D$60:$F$60,F$5)</f>
        <v>0.1</v>
      </c>
      <c r="G83" s="11" t="n">
        <f aca="false">INDEX(Asumsi!$D$60:$F$60,G$5)</f>
        <v>0.1</v>
      </c>
      <c r="H83" s="11" t="n">
        <f aca="false">INDEX(Asumsi!$D$60:$F$60,H$5)</f>
        <v>0.1</v>
      </c>
      <c r="I83" s="4"/>
      <c r="J83" s="53"/>
    </row>
    <row r="84" customFormat="false" ht="15" hidden="false" customHeight="false" outlineLevel="0" collapsed="false">
      <c r="B84" s="4" t="s">
        <v>594</v>
      </c>
      <c r="C84" s="11" t="n">
        <f aca="false">INDEX(Asumsi!$D$61:$F$61,C$5)</f>
        <v>0.12</v>
      </c>
      <c r="D84" s="11" t="n">
        <f aca="false">INDEX(Asumsi!$D$61:$F$61,D$5)</f>
        <v>0.12</v>
      </c>
      <c r="E84" s="11" t="n">
        <f aca="false">INDEX(Asumsi!$D$61:$F$61,E$5)</f>
        <v>0.12</v>
      </c>
      <c r="F84" s="11" t="n">
        <f aca="false">INDEX(Asumsi!$D$61:$F$61,F$5)</f>
        <v>0.12</v>
      </c>
      <c r="G84" s="11" t="n">
        <f aca="false">INDEX(Asumsi!$D$61:$F$61,G$5)</f>
        <v>0.12</v>
      </c>
      <c r="H84" s="11" t="n">
        <f aca="false">INDEX(Asumsi!$D$61:$F$61,H$5)</f>
        <v>0.12</v>
      </c>
      <c r="I84" s="4"/>
      <c r="J84" s="53"/>
    </row>
    <row r="85" customFormat="false" ht="15" hidden="false" customHeight="false" outlineLevel="0" collapsed="false">
      <c r="B85" s="4" t="s">
        <v>595</v>
      </c>
      <c r="C85" s="55" t="n">
        <f aca="false">INDEX(Asumsi!$D$62:$F$62,C$5)</f>
        <v>0.916667</v>
      </c>
      <c r="D85" s="55" t="n">
        <f aca="false">INDEX(Asumsi!$D$62:$F$62,D$5)</f>
        <v>0.916667</v>
      </c>
      <c r="E85" s="55" t="n">
        <f aca="false">INDEX(Asumsi!$D$62:$F$62,E$5)</f>
        <v>0.916667</v>
      </c>
      <c r="F85" s="55" t="n">
        <f aca="false">INDEX(Asumsi!$D$62:$F$62,F$5)</f>
        <v>0.916667</v>
      </c>
      <c r="G85" s="55" t="n">
        <f aca="false">INDEX(Asumsi!$D$62:$F$62,G$5)</f>
        <v>0.916667</v>
      </c>
      <c r="H85" s="55" t="n">
        <f aca="false">INDEX(Asumsi!$D$62:$F$62,H$5)</f>
        <v>0.916667</v>
      </c>
      <c r="I85" s="4"/>
      <c r="J85" s="53"/>
    </row>
    <row r="86" customFormat="false" ht="15" hidden="false" customHeight="false" outlineLevel="0" collapsed="false">
      <c r="B86" s="4" t="s">
        <v>596</v>
      </c>
      <c r="C86" s="11" t="n">
        <f aca="false">INDEX(Asumsi!$D$63:$F$63,C$5)</f>
        <v>0.05</v>
      </c>
      <c r="D86" s="11" t="n">
        <f aca="false">INDEX(Asumsi!$D$63:$F$63,D$5)</f>
        <v>0.05</v>
      </c>
      <c r="E86" s="11" t="n">
        <f aca="false">INDEX(Asumsi!$D$63:$F$63,E$5)</f>
        <v>0.05</v>
      </c>
      <c r="F86" s="11" t="n">
        <f aca="false">INDEX(Asumsi!$D$63:$F$63,F$5)</f>
        <v>0.05</v>
      </c>
      <c r="G86" s="11" t="n">
        <f aca="false">INDEX(Asumsi!$D$63:$F$63,G$5)</f>
        <v>0.05</v>
      </c>
      <c r="H86" s="11" t="n">
        <f aca="false">INDEX(Asumsi!$D$63:$F$63,H$5)</f>
        <v>0.05</v>
      </c>
      <c r="I86" s="4"/>
      <c r="J86" s="53"/>
    </row>
    <row r="87" customFormat="false" ht="15" hidden="false" customHeight="false" outlineLevel="0" collapsed="false">
      <c r="B87" s="4" t="s">
        <v>597</v>
      </c>
      <c r="C87" s="17" t="n">
        <f aca="false">INDEX(Asumsi!$D$18:$F$18,C$5)</f>
        <v>0.015</v>
      </c>
      <c r="D87" s="17" t="n">
        <f aca="false">INDEX(Asumsi!$D$18:$F$18,D$5)</f>
        <v>0.015</v>
      </c>
      <c r="E87" s="17" t="n">
        <f aca="false">INDEX(Asumsi!$D$18:$F$18,E$5)</f>
        <v>0.015</v>
      </c>
      <c r="F87" s="17" t="n">
        <f aca="false">INDEX(Asumsi!$D$18:$F$18,F$5)</f>
        <v>0.015</v>
      </c>
      <c r="G87" s="17" t="n">
        <f aca="false">INDEX(Asumsi!$D$18:$F$18,G$5)</f>
        <v>0.015</v>
      </c>
      <c r="H87" s="17" t="n">
        <f aca="false">INDEX(Asumsi!$D$18:$F$18,H$5)</f>
        <v>0.015</v>
      </c>
      <c r="I87" s="4"/>
      <c r="J87" s="53"/>
    </row>
    <row r="88" customFormat="false" ht="15" hidden="false" customHeight="false" outlineLevel="0" collapsed="false">
      <c r="B88" s="4" t="s">
        <v>598</v>
      </c>
      <c r="C88" s="9" t="n">
        <f aca="false">INDEX(Asumsi!$D$19:$F$19,C$5)</f>
        <v>5000</v>
      </c>
      <c r="D88" s="9" t="n">
        <f aca="false">INDEX(Asumsi!$D$19:$F$19,D$5)</f>
        <v>5000</v>
      </c>
      <c r="E88" s="9" t="n">
        <f aca="false">INDEX(Asumsi!$D$19:$F$19,E$5)</f>
        <v>5000</v>
      </c>
      <c r="F88" s="9" t="n">
        <f aca="false">INDEX(Asumsi!$D$19:$F$19,F$5)</f>
        <v>5000</v>
      </c>
      <c r="G88" s="9" t="n">
        <f aca="false">INDEX(Asumsi!$D$19:$F$19,G$5)</f>
        <v>5000</v>
      </c>
      <c r="H88" s="9" t="n">
        <f aca="false">INDEX(Asumsi!$D$19:$F$19,H$5)</f>
        <v>5000</v>
      </c>
      <c r="I88" s="4"/>
      <c r="J88" s="53"/>
    </row>
    <row r="89" customFormat="false" ht="15" hidden="false" customHeight="false" outlineLevel="0" collapsed="false">
      <c r="B89" s="4" t="s">
        <v>599</v>
      </c>
      <c r="C89" s="9" t="n">
        <f aca="false">INDEX(Asumsi!$D$20:$F$20,C$5)</f>
        <v>300000</v>
      </c>
      <c r="D89" s="9" t="n">
        <f aca="false">INDEX(Asumsi!$D$20:$F$20,D$5)</f>
        <v>300000</v>
      </c>
      <c r="E89" s="9" t="n">
        <f aca="false">INDEX(Asumsi!$D$20:$F$20,E$5)</f>
        <v>300000</v>
      </c>
      <c r="F89" s="9" t="n">
        <f aca="false">INDEX(Asumsi!$D$20:$F$20,F$5)</f>
        <v>300000</v>
      </c>
      <c r="G89" s="9" t="n">
        <f aca="false">INDEX(Asumsi!$D$20:$F$20,G$5)</f>
        <v>300000</v>
      </c>
      <c r="H89" s="9" t="n">
        <f aca="false">INDEX(Asumsi!$D$20:$F$20,H$5)</f>
        <v>300000</v>
      </c>
      <c r="I89" s="4"/>
      <c r="J89" s="53"/>
    </row>
    <row r="90" customFormat="false" ht="15" hidden="false" customHeight="false" outlineLevel="0" collapsed="false">
      <c r="B90" s="4" t="s">
        <v>600</v>
      </c>
      <c r="C90" s="17" t="n">
        <f aca="false">INDEX(Asumsi!$D$15:$F$15,C$5)</f>
        <v>0.05</v>
      </c>
      <c r="D90" s="17" t="n">
        <f aca="false">INDEX(Asumsi!$D$15:$F$15,D$5)</f>
        <v>0.05</v>
      </c>
      <c r="E90" s="17" t="n">
        <f aca="false">INDEX(Asumsi!$D$15:$F$15,E$5)</f>
        <v>0.05</v>
      </c>
      <c r="F90" s="17" t="n">
        <f aca="false">INDEX(Asumsi!$D$15:$F$15,F$5)</f>
        <v>0.05</v>
      </c>
      <c r="G90" s="17" t="n">
        <f aca="false">INDEX(Asumsi!$D$15:$F$15,G$5)</f>
        <v>0.05</v>
      </c>
      <c r="H90" s="17" t="n">
        <f aca="false">INDEX(Asumsi!$D$15:$F$15,H$5)</f>
        <v>0.05</v>
      </c>
      <c r="I90" s="4"/>
      <c r="J90" s="53"/>
    </row>
    <row r="91" customFormat="false" ht="15" hidden="false" customHeight="false" outlineLevel="0" collapsed="false">
      <c r="B91" s="4" t="s">
        <v>601</v>
      </c>
      <c r="C91" s="9" t="n">
        <f aca="false">INDEX(Asumsi!$D$16:$F$16,C$5)</f>
        <v>10000</v>
      </c>
      <c r="D91" s="9" t="n">
        <f aca="false">INDEX(Asumsi!$D$16:$F$16,D$5)</f>
        <v>10000</v>
      </c>
      <c r="E91" s="9" t="n">
        <f aca="false">INDEX(Asumsi!$D$16:$F$16,E$5)</f>
        <v>10000</v>
      </c>
      <c r="F91" s="9" t="n">
        <f aca="false">INDEX(Asumsi!$D$16:$F$16,F$5)</f>
        <v>10000</v>
      </c>
      <c r="G91" s="9" t="n">
        <f aca="false">INDEX(Asumsi!$D$16:$F$16,G$5)</f>
        <v>10000</v>
      </c>
      <c r="H91" s="9" t="n">
        <f aca="false">INDEX(Asumsi!$D$16:$F$16,H$5)</f>
        <v>10000</v>
      </c>
      <c r="I91" s="4"/>
      <c r="J91" s="53"/>
    </row>
    <row r="92" customFormat="false" ht="15" hidden="false" customHeight="false" outlineLevel="0" collapsed="false">
      <c r="B92" s="4" t="s">
        <v>602</v>
      </c>
      <c r="C92" s="9" t="n">
        <f aca="false">INDEX(Asumsi!$D$17:$F$17,C$5)</f>
        <v>750000</v>
      </c>
      <c r="D92" s="9" t="n">
        <f aca="false">INDEX(Asumsi!$D$17:$F$17,D$5)</f>
        <v>750000</v>
      </c>
      <c r="E92" s="9" t="n">
        <f aca="false">INDEX(Asumsi!$D$17:$F$17,E$5)</f>
        <v>750000</v>
      </c>
      <c r="F92" s="9" t="n">
        <f aca="false">INDEX(Asumsi!$D$17:$F$17,F$5)</f>
        <v>750000</v>
      </c>
      <c r="G92" s="9" t="n">
        <f aca="false">INDEX(Asumsi!$D$17:$F$17,G$5)</f>
        <v>750000</v>
      </c>
      <c r="H92" s="9" t="n">
        <f aca="false">INDEX(Asumsi!$D$17:$F$17,H$5)</f>
        <v>750000</v>
      </c>
      <c r="I92" s="4"/>
      <c r="J92" s="53"/>
    </row>
    <row r="93" customFormat="false" ht="15" hidden="false" customHeight="false" outlineLevel="0" collapsed="false">
      <c r="B93" s="4" t="s">
        <v>603</v>
      </c>
      <c r="C93" s="11" t="n">
        <f aca="false">INDEX(Asumsi!$D$21:$F$21,C$5)</f>
        <v>0.12</v>
      </c>
      <c r="D93" s="11" t="n">
        <f aca="false">INDEX(Asumsi!$D$21:$F$21,D$5)</f>
        <v>0.12</v>
      </c>
      <c r="E93" s="11" t="n">
        <f aca="false">INDEX(Asumsi!$D$21:$F$21,E$5)</f>
        <v>0.12</v>
      </c>
      <c r="F93" s="11" t="n">
        <f aca="false">INDEX(Asumsi!$D$21:$F$21,F$5)</f>
        <v>0.12</v>
      </c>
      <c r="G93" s="11" t="n">
        <f aca="false">INDEX(Asumsi!$D$21:$F$21,G$5)</f>
        <v>0.12</v>
      </c>
      <c r="H93" s="11" t="n">
        <f aca="false">INDEX(Asumsi!$D$21:$F$21,H$5)</f>
        <v>0.12</v>
      </c>
      <c r="I93" s="4"/>
      <c r="J93" s="53"/>
    </row>
    <row r="94" customFormat="false" ht="15" hidden="false" customHeight="false" outlineLevel="0" collapsed="false">
      <c r="B94" s="4" t="s">
        <v>604</v>
      </c>
      <c r="C94" s="55" t="n">
        <f aca="false">INDEX(Asumsi!$D$22:$F$22,C$5)</f>
        <v>0.916667</v>
      </c>
      <c r="D94" s="55" t="n">
        <f aca="false">INDEX(Asumsi!$D$22:$F$22,D$5)</f>
        <v>0.916667</v>
      </c>
      <c r="E94" s="55" t="n">
        <f aca="false">INDEX(Asumsi!$D$22:$F$22,E$5)</f>
        <v>0.916667</v>
      </c>
      <c r="F94" s="55" t="n">
        <f aca="false">INDEX(Asumsi!$D$22:$F$22,F$5)</f>
        <v>0.916667</v>
      </c>
      <c r="G94" s="55" t="n">
        <f aca="false">INDEX(Asumsi!$D$22:$F$22,G$5)</f>
        <v>0.916667</v>
      </c>
      <c r="H94" s="55" t="n">
        <f aca="false">INDEX(Asumsi!$D$22:$F$22,H$5)</f>
        <v>0.916667</v>
      </c>
      <c r="I94" s="4"/>
      <c r="J94" s="53"/>
    </row>
    <row r="95" customFormat="false" ht="15" hidden="false" customHeight="false" outlineLevel="0" collapsed="false">
      <c r="B95" s="4" t="s">
        <v>605</v>
      </c>
      <c r="C95" s="56" t="n">
        <f aca="false">INDEX(Asumsi!$D$23:$F$23,C$5)</f>
        <v>1</v>
      </c>
      <c r="D95" s="56" t="n">
        <f aca="false">INDEX(Asumsi!$D$23:$F$23,D$5)</f>
        <v>1</v>
      </c>
      <c r="E95" s="56" t="n">
        <f aca="false">INDEX(Asumsi!$D$23:$F$23,E$5)</f>
        <v>1</v>
      </c>
      <c r="F95" s="56" t="n">
        <f aca="false">INDEX(Asumsi!$D$23:$F$23,F$5)</f>
        <v>1</v>
      </c>
      <c r="G95" s="56" t="n">
        <f aca="false">INDEX(Asumsi!$D$23:$F$23,G$5)</f>
        <v>1</v>
      </c>
      <c r="H95" s="56" t="n">
        <f aca="false">INDEX(Asumsi!$D$23:$F$23,H$5)</f>
        <v>1</v>
      </c>
      <c r="I95" s="4"/>
      <c r="J95" s="53"/>
    </row>
    <row r="96" customFormat="false" ht="15" hidden="false" customHeight="false" outlineLevel="0" collapsed="false">
      <c r="B96" s="4" t="s">
        <v>606</v>
      </c>
      <c r="C96" s="9" t="n">
        <f aca="false">INDEX(Asumsi!$D$29:$F$29,C$5)</f>
        <v>4500</v>
      </c>
      <c r="D96" s="9" t="n">
        <f aca="false">INDEX(Asumsi!$D$29:$F$29,D$5)</f>
        <v>4500</v>
      </c>
      <c r="E96" s="9" t="n">
        <f aca="false">INDEX(Asumsi!$D$29:$F$29,E$5)</f>
        <v>4500</v>
      </c>
      <c r="F96" s="9" t="n">
        <f aca="false">INDEX(Asumsi!$D$29:$F$29,F$5)</f>
        <v>4500</v>
      </c>
      <c r="G96" s="9" t="n">
        <f aca="false">INDEX(Asumsi!$D$29:$F$29,G$5)</f>
        <v>4500</v>
      </c>
      <c r="H96" s="9" t="n">
        <f aca="false">INDEX(Asumsi!$D$29:$F$29,H$5)</f>
        <v>4500</v>
      </c>
      <c r="I96" s="4"/>
      <c r="J96" s="53"/>
    </row>
    <row r="97" customFormat="false" ht="15" hidden="false" customHeight="false" outlineLevel="0" collapsed="false">
      <c r="B97" s="4" t="s">
        <v>607</v>
      </c>
      <c r="C97" s="17" t="n">
        <f aca="false">INDEX(Asumsi!$D$30:$F$30,C$5)</f>
        <v>0</v>
      </c>
      <c r="D97" s="17" t="n">
        <f aca="false">INDEX(Asumsi!$D$30:$F$30,D$5)</f>
        <v>0</v>
      </c>
      <c r="E97" s="17" t="n">
        <f aca="false">INDEX(Asumsi!$D$30:$F$30,E$5)</f>
        <v>0</v>
      </c>
      <c r="F97" s="17" t="n">
        <f aca="false">INDEX(Asumsi!$D$30:$F$30,F$5)</f>
        <v>0</v>
      </c>
      <c r="G97" s="17" t="n">
        <f aca="false">INDEX(Asumsi!$D$30:$F$30,G$5)</f>
        <v>0</v>
      </c>
      <c r="H97" s="17" t="n">
        <f aca="false">INDEX(Asumsi!$D$30:$F$30,H$5)</f>
        <v>0</v>
      </c>
      <c r="I97" s="4"/>
      <c r="J97" s="53"/>
    </row>
    <row r="98" customFormat="false" ht="15" hidden="false" customHeight="false" outlineLevel="0" collapsed="false">
      <c r="B98" s="4" t="s">
        <v>608</v>
      </c>
      <c r="C98" s="9" t="n">
        <f aca="false">INDEX(Asumsi!$D$31:$F$31,C$5)</f>
        <v>0</v>
      </c>
      <c r="D98" s="9" t="n">
        <f aca="false">INDEX(Asumsi!$D$31:$F$31,D$5)</f>
        <v>0</v>
      </c>
      <c r="E98" s="9" t="n">
        <f aca="false">INDEX(Asumsi!$D$31:$F$31,E$5)</f>
        <v>0</v>
      </c>
      <c r="F98" s="9" t="n">
        <f aca="false">INDEX(Asumsi!$D$31:$F$31,F$5)</f>
        <v>0</v>
      </c>
      <c r="G98" s="9" t="n">
        <f aca="false">INDEX(Asumsi!$D$31:$F$31,G$5)</f>
        <v>0</v>
      </c>
      <c r="H98" s="9" t="n">
        <f aca="false">INDEX(Asumsi!$D$31:$F$31,H$5)</f>
        <v>0</v>
      </c>
      <c r="I98" s="4"/>
      <c r="J98" s="53"/>
    </row>
    <row r="99" customFormat="false" ht="15" hidden="false" customHeight="false" outlineLevel="0" collapsed="false">
      <c r="B99" s="4" t="s">
        <v>609</v>
      </c>
      <c r="C99" s="17" t="n">
        <f aca="false">INDEX(Asumsi!$D$32:$F$32,C$5)</f>
        <v>0.007</v>
      </c>
      <c r="D99" s="17" t="n">
        <f aca="false">INDEX(Asumsi!$D$32:$F$32,D$5)</f>
        <v>0.007</v>
      </c>
      <c r="E99" s="17" t="n">
        <f aca="false">INDEX(Asumsi!$D$32:$F$32,E$5)</f>
        <v>0.007</v>
      </c>
      <c r="F99" s="17" t="n">
        <f aca="false">INDEX(Asumsi!$D$32:$F$32,F$5)</f>
        <v>0.007</v>
      </c>
      <c r="G99" s="17" t="n">
        <f aca="false">INDEX(Asumsi!$D$32:$F$32,G$5)</f>
        <v>0.007</v>
      </c>
      <c r="H99" s="17" t="n">
        <f aca="false">INDEX(Asumsi!$D$32:$F$32,H$5)</f>
        <v>0.007</v>
      </c>
      <c r="I99" s="4"/>
      <c r="J99" s="53"/>
    </row>
    <row r="100" customFormat="false" ht="15" hidden="false" customHeight="false" outlineLevel="0" collapsed="false">
      <c r="B100" s="4" t="s">
        <v>610</v>
      </c>
      <c r="C100" s="9" t="n">
        <f aca="false">INDEX(Asumsi!$D$33:$F$33,C$5)</f>
        <v>0</v>
      </c>
      <c r="D100" s="9" t="n">
        <f aca="false">INDEX(Asumsi!$D$33:$F$33,D$5)</f>
        <v>0</v>
      </c>
      <c r="E100" s="9" t="n">
        <f aca="false">INDEX(Asumsi!$D$33:$F$33,E$5)</f>
        <v>0</v>
      </c>
      <c r="F100" s="9" t="n">
        <f aca="false">INDEX(Asumsi!$D$33:$F$33,F$5)</f>
        <v>0</v>
      </c>
      <c r="G100" s="9" t="n">
        <f aca="false">INDEX(Asumsi!$D$33:$F$33,G$5)</f>
        <v>0</v>
      </c>
      <c r="H100" s="9" t="n">
        <f aca="false">INDEX(Asumsi!$D$33:$F$33,H$5)</f>
        <v>0</v>
      </c>
      <c r="I100" s="4"/>
      <c r="J100" s="53"/>
    </row>
    <row r="101" customFormat="false" ht="15" hidden="false" customHeight="false" outlineLevel="0" collapsed="false">
      <c r="B101" s="4" t="s">
        <v>611</v>
      </c>
      <c r="C101" s="17" t="n">
        <f aca="false">INDEX(Asumsi!$D$34:$F$34,C$5)</f>
        <v>0.015</v>
      </c>
      <c r="D101" s="17" t="n">
        <f aca="false">INDEX(Asumsi!$D$34:$F$34,D$5)</f>
        <v>0.015</v>
      </c>
      <c r="E101" s="17" t="n">
        <f aca="false">INDEX(Asumsi!$D$34:$F$34,E$5)</f>
        <v>0.015</v>
      </c>
      <c r="F101" s="17" t="n">
        <f aca="false">INDEX(Asumsi!$D$34:$F$34,F$5)</f>
        <v>0.015</v>
      </c>
      <c r="G101" s="17" t="n">
        <f aca="false">INDEX(Asumsi!$D$34:$F$34,G$5)</f>
        <v>0.015</v>
      </c>
      <c r="H101" s="17" t="n">
        <f aca="false">INDEX(Asumsi!$D$34:$F$34,H$5)</f>
        <v>0.015</v>
      </c>
      <c r="I101" s="4"/>
      <c r="J101" s="53"/>
    </row>
    <row r="102" customFormat="false" ht="15" hidden="false" customHeight="false" outlineLevel="0" collapsed="false">
      <c r="B102" s="4" t="s">
        <v>612</v>
      </c>
      <c r="C102" s="9" t="n">
        <f aca="false">INDEX(Asumsi!$D$35:$F$35,C$5)</f>
        <v>2000</v>
      </c>
      <c r="D102" s="9" t="n">
        <f aca="false">INDEX(Asumsi!$D$35:$F$35,D$5)</f>
        <v>2000</v>
      </c>
      <c r="E102" s="9" t="n">
        <f aca="false">INDEX(Asumsi!$D$35:$F$35,E$5)</f>
        <v>2000</v>
      </c>
      <c r="F102" s="9" t="n">
        <f aca="false">INDEX(Asumsi!$D$35:$F$35,F$5)</f>
        <v>2000</v>
      </c>
      <c r="G102" s="9" t="n">
        <f aca="false">INDEX(Asumsi!$D$35:$F$35,G$5)</f>
        <v>2000</v>
      </c>
      <c r="H102" s="9" t="n">
        <f aca="false">INDEX(Asumsi!$D$35:$F$35,H$5)</f>
        <v>2000</v>
      </c>
      <c r="I102" s="4"/>
      <c r="J102" s="53"/>
    </row>
    <row r="103" customFormat="false" ht="15" hidden="false" customHeight="false" outlineLevel="0" collapsed="false">
      <c r="B103" s="4" t="s">
        <v>613</v>
      </c>
      <c r="C103" s="17" t="n">
        <f aca="false">INDEX(Asumsi!$D$36:$F$36,C$5)</f>
        <v>0.029</v>
      </c>
      <c r="D103" s="17" t="n">
        <f aca="false">INDEX(Asumsi!$D$36:$F$36,D$5)</f>
        <v>0.029</v>
      </c>
      <c r="E103" s="17" t="n">
        <f aca="false">INDEX(Asumsi!$D$36:$F$36,E$5)</f>
        <v>0.029</v>
      </c>
      <c r="F103" s="17" t="n">
        <f aca="false">INDEX(Asumsi!$D$36:$F$36,F$5)</f>
        <v>0.029</v>
      </c>
      <c r="G103" s="17" t="n">
        <f aca="false">INDEX(Asumsi!$D$36:$F$36,G$5)</f>
        <v>0.029</v>
      </c>
      <c r="H103" s="17" t="n">
        <f aca="false">INDEX(Asumsi!$D$36:$F$36,H$5)</f>
        <v>0.029</v>
      </c>
      <c r="I103" s="4"/>
      <c r="J103" s="53"/>
    </row>
    <row r="104" customFormat="false" ht="15" hidden="false" customHeight="false" outlineLevel="0" collapsed="false">
      <c r="B104" s="4" t="s">
        <v>614</v>
      </c>
      <c r="C104" s="9" t="n">
        <f aca="false">INDEX(Asumsi!$D$38:$F$38,C$5)</f>
        <v>9000</v>
      </c>
      <c r="D104" s="9" t="n">
        <f aca="false">INDEX(Asumsi!$D$38:$F$38,D$5)</f>
        <v>9000</v>
      </c>
      <c r="E104" s="9" t="n">
        <f aca="false">INDEX(Asumsi!$D$38:$F$38,E$5)</f>
        <v>9000</v>
      </c>
      <c r="F104" s="9" t="n">
        <f aca="false">INDEX(Asumsi!$D$38:$F$38,F$5)</f>
        <v>9000</v>
      </c>
      <c r="G104" s="9" t="n">
        <f aca="false">INDEX(Asumsi!$D$38:$F$38,G$5)</f>
        <v>9000</v>
      </c>
      <c r="H104" s="9" t="n">
        <f aca="false">INDEX(Asumsi!$D$38:$F$38,H$5)</f>
        <v>9000</v>
      </c>
      <c r="I104" s="4"/>
      <c r="J104" s="53"/>
    </row>
    <row r="105" customFormat="false" ht="15" hidden="false" customHeight="false" outlineLevel="0" collapsed="false">
      <c r="B105" s="4" t="s">
        <v>615</v>
      </c>
      <c r="C105" s="9" t="n">
        <f aca="false">INDEX(Asumsi!$D$39:$F$39,C$5)</f>
        <v>4000</v>
      </c>
      <c r="D105" s="9" t="n">
        <f aca="false">INDEX(Asumsi!$D$39:$F$39,D$5)</f>
        <v>4000</v>
      </c>
      <c r="E105" s="9" t="n">
        <f aca="false">INDEX(Asumsi!$D$39:$F$39,E$5)</f>
        <v>4000</v>
      </c>
      <c r="F105" s="9" t="n">
        <f aca="false">INDEX(Asumsi!$D$39:$F$39,F$5)</f>
        <v>4000</v>
      </c>
      <c r="G105" s="9" t="n">
        <f aca="false">INDEX(Asumsi!$D$39:$F$39,G$5)</f>
        <v>4000</v>
      </c>
      <c r="H105" s="9" t="n">
        <f aca="false">INDEX(Asumsi!$D$39:$F$39,H$5)</f>
        <v>4000</v>
      </c>
      <c r="I105" s="4"/>
      <c r="J105" s="53"/>
    </row>
    <row r="106" customFormat="false" ht="15" hidden="false" customHeight="false" outlineLevel="0" collapsed="false">
      <c r="B106" s="4" t="s">
        <v>616</v>
      </c>
      <c r="C106" s="17" t="n">
        <f aca="false">INDEX(Asumsi!$D$40:$F$40,C$5)</f>
        <v>0.007</v>
      </c>
      <c r="D106" s="17" t="n">
        <f aca="false">INDEX(Asumsi!$D$40:$F$40,D$5)</f>
        <v>0.007</v>
      </c>
      <c r="E106" s="17" t="n">
        <f aca="false">INDEX(Asumsi!$D$40:$F$40,E$5)</f>
        <v>0.007</v>
      </c>
      <c r="F106" s="17" t="n">
        <f aca="false">INDEX(Asumsi!$D$40:$F$40,F$5)</f>
        <v>0.007</v>
      </c>
      <c r="G106" s="17" t="n">
        <f aca="false">INDEX(Asumsi!$D$40:$F$40,G$5)</f>
        <v>0.007</v>
      </c>
      <c r="H106" s="17" t="n">
        <f aca="false">INDEX(Asumsi!$D$40:$F$40,H$5)</f>
        <v>0.007</v>
      </c>
      <c r="I106" s="4"/>
      <c r="J106" s="53"/>
    </row>
    <row r="107" customFormat="false" ht="15" hidden="false" customHeight="false" outlineLevel="0" collapsed="false">
      <c r="B107" s="4" t="s">
        <v>617</v>
      </c>
      <c r="C107" s="17" t="n">
        <f aca="false">INDEX(Asumsi!$D$41:$F$41,C$5)</f>
        <v>0.035</v>
      </c>
      <c r="D107" s="17" t="n">
        <f aca="false">INDEX(Asumsi!$D$41:$F$41,D$5)</f>
        <v>0.03</v>
      </c>
      <c r="E107" s="17" t="n">
        <f aca="false">INDEX(Asumsi!$D$41:$F$41,E$5)</f>
        <v>0.025</v>
      </c>
      <c r="F107" s="17" t="n">
        <f aca="false">INDEX(Asumsi!$D$41:$F$41,F$5)</f>
        <v>0.03</v>
      </c>
      <c r="G107" s="17" t="n">
        <f aca="false">INDEX(Asumsi!$D$41:$F$41,G$5)</f>
        <v>0.03</v>
      </c>
      <c r="H107" s="17" t="n">
        <f aca="false">INDEX(Asumsi!$D$41:$F$41,H$5)</f>
        <v>0.03</v>
      </c>
      <c r="I107" s="4"/>
      <c r="J107" s="53"/>
    </row>
    <row r="108" customFormat="false" ht="15" hidden="false" customHeight="false" outlineLevel="0" collapsed="false">
      <c r="B108" s="4" t="s">
        <v>618</v>
      </c>
      <c r="C108" s="17" t="n">
        <f aca="false">INDEX(Asumsi!$D$42:$F$42,C$5)</f>
        <v>0.029</v>
      </c>
      <c r="D108" s="17" t="n">
        <f aca="false">INDEX(Asumsi!$D$42:$F$42,D$5)</f>
        <v>0.029</v>
      </c>
      <c r="E108" s="17" t="n">
        <f aca="false">INDEX(Asumsi!$D$42:$F$42,E$5)</f>
        <v>0.029</v>
      </c>
      <c r="F108" s="17" t="n">
        <f aca="false">INDEX(Asumsi!$D$42:$F$42,F$5)</f>
        <v>0.029</v>
      </c>
      <c r="G108" s="17" t="n">
        <f aca="false">INDEX(Asumsi!$D$42:$F$42,G$5)</f>
        <v>0.029</v>
      </c>
      <c r="H108" s="17" t="n">
        <f aca="false">INDEX(Asumsi!$D$42:$F$42,H$5)</f>
        <v>0.029</v>
      </c>
      <c r="I108" s="4"/>
      <c r="J108" s="53"/>
    </row>
    <row r="109" customFormat="false" ht="15" hidden="false" customHeight="false" outlineLevel="0" collapsed="false">
      <c r="B109" s="4" t="s">
        <v>619</v>
      </c>
      <c r="C109" s="9" t="n">
        <f aca="false">INDEX(Asumsi!$D$43:$F$43,C$5)</f>
        <v>2000</v>
      </c>
      <c r="D109" s="9" t="n">
        <f aca="false">INDEX(Asumsi!$D$43:$F$43,D$5)</f>
        <v>2000</v>
      </c>
      <c r="E109" s="9" t="n">
        <f aca="false">INDEX(Asumsi!$D$43:$F$43,E$5)</f>
        <v>2000</v>
      </c>
      <c r="F109" s="9" t="n">
        <f aca="false">INDEX(Asumsi!$D$43:$F$43,F$5)</f>
        <v>2000</v>
      </c>
      <c r="G109" s="9" t="n">
        <f aca="false">INDEX(Asumsi!$D$43:$F$43,G$5)</f>
        <v>2000</v>
      </c>
      <c r="H109" s="9" t="n">
        <f aca="false">INDEX(Asumsi!$D$43:$F$43,H$5)</f>
        <v>2000</v>
      </c>
      <c r="I109" s="4"/>
      <c r="J109" s="53"/>
    </row>
    <row r="110" customFormat="false" ht="15" hidden="false" customHeight="false" outlineLevel="0" collapsed="false">
      <c r="B110" s="4" t="s">
        <v>620</v>
      </c>
      <c r="C110" s="11" t="n">
        <f aca="false">INDEX(Asumsi!$D$44:$F$44,C$5)</f>
        <v>0.11</v>
      </c>
      <c r="D110" s="11" t="n">
        <f aca="false">INDEX(Asumsi!$D$44:$F$44,D$5)</f>
        <v>0.11</v>
      </c>
      <c r="E110" s="11" t="n">
        <f aca="false">INDEX(Asumsi!$D$44:$F$44,E$5)</f>
        <v>0.11</v>
      </c>
      <c r="F110" s="11" t="n">
        <f aca="false">INDEX(Asumsi!$D$44:$F$44,F$5)</f>
        <v>0.11</v>
      </c>
      <c r="G110" s="11" t="n">
        <f aca="false">INDEX(Asumsi!$D$44:$F$44,G$5)</f>
        <v>0.11</v>
      </c>
      <c r="H110" s="11" t="n">
        <f aca="false">INDEX(Asumsi!$D$44:$F$44,H$5)</f>
        <v>0.11</v>
      </c>
      <c r="I110" s="4"/>
      <c r="J110" s="53"/>
    </row>
    <row r="111" customFormat="false" ht="15" hidden="false" customHeight="false" outlineLevel="0" collapsed="false">
      <c r="B111" s="4" t="s">
        <v>621</v>
      </c>
      <c r="C111" s="9" t="n">
        <f aca="false">INDEX(Asumsi!$D$45:$F$45,C$5)</f>
        <v>4000</v>
      </c>
      <c r="D111" s="9" t="n">
        <f aca="false">INDEX(Asumsi!$D$45:$F$45,D$5)</f>
        <v>4500</v>
      </c>
      <c r="E111" s="9" t="n">
        <f aca="false">INDEX(Asumsi!$D$45:$F$45,E$5)</f>
        <v>4500</v>
      </c>
      <c r="F111" s="9" t="n">
        <f aca="false">INDEX(Asumsi!$D$45:$F$45,F$5)</f>
        <v>4500</v>
      </c>
      <c r="G111" s="9" t="n">
        <f aca="false">INDEX(Asumsi!$D$45:$F$45,G$5)</f>
        <v>4500</v>
      </c>
      <c r="H111" s="9" t="n">
        <f aca="false">INDEX(Asumsi!$D$45:$F$45,H$5)</f>
        <v>4500</v>
      </c>
      <c r="I111" s="4"/>
      <c r="J111" s="53"/>
    </row>
    <row r="112" customFormat="false" ht="15" hidden="false" customHeight="false" outlineLevel="0" collapsed="false">
      <c r="B112" s="4" t="s">
        <v>622</v>
      </c>
      <c r="C112" s="17" t="n">
        <f aca="false">INDEX(Asumsi!$D$46:$F$46,C$5)</f>
        <v>0.01</v>
      </c>
      <c r="D112" s="17" t="n">
        <f aca="false">INDEX(Asumsi!$D$46:$F$46,D$5)</f>
        <v>0</v>
      </c>
      <c r="E112" s="17" t="n">
        <f aca="false">INDEX(Asumsi!$D$46:$F$46,E$5)</f>
        <v>0</v>
      </c>
      <c r="F112" s="17" t="n">
        <f aca="false">INDEX(Asumsi!$D$46:$F$46,F$5)</f>
        <v>0</v>
      </c>
      <c r="G112" s="17" t="n">
        <f aca="false">INDEX(Asumsi!$D$46:$F$46,G$5)</f>
        <v>0</v>
      </c>
      <c r="H112" s="17" t="n">
        <f aca="false">INDEX(Asumsi!$D$46:$F$46,H$5)</f>
        <v>0</v>
      </c>
      <c r="I112" s="4"/>
      <c r="J112" s="53"/>
    </row>
    <row r="113" customFormat="false" ht="15" hidden="false" customHeight="false" outlineLevel="0" collapsed="false">
      <c r="B113" s="4" t="s">
        <v>623</v>
      </c>
      <c r="C113" s="9" t="n">
        <f aca="false">INDEX(Asumsi!$D$47:$F$47,C$5)</f>
        <v>2500</v>
      </c>
      <c r="D113" s="9" t="n">
        <f aca="false">INDEX(Asumsi!$D$47:$F$47,D$5)</f>
        <v>2500</v>
      </c>
      <c r="E113" s="9" t="n">
        <f aca="false">INDEX(Asumsi!$D$47:$F$47,E$5)</f>
        <v>2500</v>
      </c>
      <c r="F113" s="9" t="n">
        <f aca="false">INDEX(Asumsi!$D$47:$F$47,F$5)</f>
        <v>2500</v>
      </c>
      <c r="G113" s="9" t="n">
        <f aca="false">INDEX(Asumsi!$D$47:$F$47,G$5)</f>
        <v>2500</v>
      </c>
      <c r="H113" s="9" t="n">
        <f aca="false">INDEX(Asumsi!$D$47:$F$47,H$5)</f>
        <v>2500</v>
      </c>
      <c r="I113" s="4"/>
      <c r="J113" s="53"/>
    </row>
    <row r="114" customFormat="false" ht="15" hidden="false" customHeight="false" outlineLevel="0" collapsed="false">
      <c r="B114" s="4" t="s">
        <v>624</v>
      </c>
      <c r="C114" s="11" t="n">
        <f aca="false">INDEX(Asumsi!$D$52:$F$52,C$5)</f>
        <v>0.6</v>
      </c>
      <c r="D114" s="11" t="n">
        <f aca="false">INDEX(Asumsi!$D$52:$F$52,D$5)</f>
        <v>0.5</v>
      </c>
      <c r="E114" s="11" t="n">
        <f aca="false">INDEX(Asumsi!$D$52:$F$52,E$5)</f>
        <v>0.4</v>
      </c>
      <c r="F114" s="11" t="n">
        <f aca="false">INDEX(Asumsi!$D$52:$F$52,F$5)</f>
        <v>0.5</v>
      </c>
      <c r="G114" s="11" t="n">
        <f aca="false">INDEX(Asumsi!$D$52:$F$52,G$5)</f>
        <v>0.5</v>
      </c>
      <c r="H114" s="11" t="n">
        <f aca="false">INDEX(Asumsi!$D$52:$F$52,H$5)</f>
        <v>0.5</v>
      </c>
      <c r="I114" s="4"/>
      <c r="J114" s="53"/>
    </row>
    <row r="115" customFormat="false" ht="15" hidden="false" customHeight="false" outlineLevel="0" collapsed="false">
      <c r="B115" s="4" t="s">
        <v>625</v>
      </c>
      <c r="C115" s="11" t="n">
        <f aca="false">INDEX(Asumsi!$D$53:$F$53,C$5)</f>
        <v>0.2</v>
      </c>
      <c r="D115" s="11" t="n">
        <f aca="false">INDEX(Asumsi!$D$53:$F$53,D$5)</f>
        <v>0.25</v>
      </c>
      <c r="E115" s="11" t="n">
        <f aca="false">INDEX(Asumsi!$D$53:$F$53,E$5)</f>
        <v>0.3</v>
      </c>
      <c r="F115" s="11" t="n">
        <f aca="false">INDEX(Asumsi!$D$53:$F$53,F$5)</f>
        <v>0.25</v>
      </c>
      <c r="G115" s="11" t="n">
        <f aca="false">INDEX(Asumsi!$D$53:$F$53,G$5)</f>
        <v>0.25</v>
      </c>
      <c r="H115" s="11" t="n">
        <f aca="false">INDEX(Asumsi!$D$53:$F$53,H$5)</f>
        <v>0.25</v>
      </c>
      <c r="I115" s="4"/>
      <c r="J115" s="53"/>
    </row>
    <row r="116" customFormat="false" ht="15" hidden="false" customHeight="false" outlineLevel="0" collapsed="false">
      <c r="B116" s="4" t="s">
        <v>626</v>
      </c>
      <c r="C116" s="11" t="n">
        <f aca="false">INDEX(Asumsi!$D$54:$F$54,C$5)</f>
        <v>0.12</v>
      </c>
      <c r="D116" s="11" t="n">
        <f aca="false">INDEX(Asumsi!$D$54:$F$54,D$5)</f>
        <v>0.15</v>
      </c>
      <c r="E116" s="11" t="n">
        <f aca="false">INDEX(Asumsi!$D$54:$F$54,E$5)</f>
        <v>0.18</v>
      </c>
      <c r="F116" s="11" t="n">
        <f aca="false">INDEX(Asumsi!$D$54:$F$54,F$5)</f>
        <v>0.15</v>
      </c>
      <c r="G116" s="11" t="n">
        <f aca="false">INDEX(Asumsi!$D$54:$F$54,G$5)</f>
        <v>0.15</v>
      </c>
      <c r="H116" s="11" t="n">
        <f aca="false">INDEX(Asumsi!$D$54:$F$54,H$5)</f>
        <v>0.15</v>
      </c>
      <c r="I116" s="4"/>
      <c r="J116" s="53"/>
    </row>
    <row r="117" customFormat="false" ht="15" hidden="false" customHeight="false" outlineLevel="0" collapsed="false">
      <c r="B117" s="4" t="s">
        <v>627</v>
      </c>
      <c r="C117" s="11" t="n">
        <f aca="false">INDEX(Asumsi!$D$55:$F$55,C$5)</f>
        <v>0.08</v>
      </c>
      <c r="D117" s="11" t="n">
        <f aca="false">INDEX(Asumsi!$D$55:$F$55,D$5)</f>
        <v>0.1</v>
      </c>
      <c r="E117" s="11" t="n">
        <f aca="false">INDEX(Asumsi!$D$55:$F$55,E$5)</f>
        <v>0.12</v>
      </c>
      <c r="F117" s="11" t="n">
        <f aca="false">INDEX(Asumsi!$D$55:$F$55,F$5)</f>
        <v>0.1</v>
      </c>
      <c r="G117" s="11" t="n">
        <f aca="false">INDEX(Asumsi!$D$55:$F$55,G$5)</f>
        <v>0.1</v>
      </c>
      <c r="H117" s="11" t="n">
        <f aca="false">INDEX(Asumsi!$D$55:$F$55,H$5)</f>
        <v>0.1</v>
      </c>
      <c r="I117" s="4"/>
      <c r="J117" s="53"/>
    </row>
    <row r="118" customFormat="false" ht="15" hidden="false" customHeight="false" outlineLevel="0" collapsed="false">
      <c r="B118" s="4" t="s">
        <v>628</v>
      </c>
      <c r="C118" s="11" t="n">
        <f aca="false">INDEX(Asumsi!$D$66:$F$66,C$5)</f>
        <v>0.6</v>
      </c>
      <c r="D118" s="11" t="n">
        <f aca="false">INDEX(Asumsi!$D$66:$F$66,D$5)</f>
        <v>0.4</v>
      </c>
      <c r="E118" s="11" t="n">
        <f aca="false">INDEX(Asumsi!$D$66:$F$66,E$5)</f>
        <v>0.3</v>
      </c>
      <c r="F118" s="11" t="n">
        <f aca="false">INDEX(Asumsi!$D$66:$F$66,F$5)</f>
        <v>0.4</v>
      </c>
      <c r="G118" s="11" t="n">
        <f aca="false">INDEX(Asumsi!$D$66:$F$66,G$5)</f>
        <v>0.4</v>
      </c>
      <c r="H118" s="11" t="n">
        <f aca="false">INDEX(Asumsi!$D$66:$F$66,H$5)</f>
        <v>0.4</v>
      </c>
      <c r="I118" s="4"/>
      <c r="J118" s="53"/>
    </row>
    <row r="119" customFormat="false" ht="15" hidden="false" customHeight="false" outlineLevel="0" collapsed="false">
      <c r="B119" s="4" t="s">
        <v>629</v>
      </c>
      <c r="C119" s="9" t="n">
        <f aca="false">INDEX(Asumsi!$D$67:$F$67,C$5)</f>
        <v>12500</v>
      </c>
      <c r="D119" s="9" t="n">
        <f aca="false">INDEX(Asumsi!$D$67:$F$67,D$5)</f>
        <v>10000</v>
      </c>
      <c r="E119" s="9" t="n">
        <f aca="false">INDEX(Asumsi!$D$67:$F$67,E$5)</f>
        <v>8000</v>
      </c>
      <c r="F119" s="9" t="n">
        <f aca="false">INDEX(Asumsi!$D$67:$F$67,F$5)</f>
        <v>10000</v>
      </c>
      <c r="G119" s="9" t="n">
        <f aca="false">INDEX(Asumsi!$D$67:$F$67,G$5)</f>
        <v>10000</v>
      </c>
      <c r="H119" s="9" t="n">
        <f aca="false">INDEX(Asumsi!$D$67:$F$67,H$5)</f>
        <v>10000</v>
      </c>
      <c r="I119" s="4"/>
      <c r="J119" s="53"/>
    </row>
    <row r="120" customFormat="false" ht="15" hidden="false" customHeight="false" outlineLevel="0" collapsed="false">
      <c r="B120" s="4" t="s">
        <v>630</v>
      </c>
      <c r="C120" s="11" t="n">
        <f aca="false">INDEX(Asumsi!$D$65:$F$65,C$5)</f>
        <v>0.08</v>
      </c>
      <c r="D120" s="11" t="n">
        <f aca="false">INDEX(Asumsi!$D$65:$F$65,D$5)</f>
        <v>0.05</v>
      </c>
      <c r="E120" s="11" t="n">
        <f aca="false">INDEX(Asumsi!$D$65:$F$65,E$5)</f>
        <v>0.04</v>
      </c>
      <c r="F120" s="11" t="n">
        <f aca="false">INDEX(Asumsi!$D$65:$F$65,F$5)</f>
        <v>0.05</v>
      </c>
      <c r="G120" s="11" t="n">
        <f aca="false">INDEX(Asumsi!$D$65:$F$65,G$5)</f>
        <v>0.05</v>
      </c>
      <c r="H120" s="11" t="n">
        <f aca="false">INDEX(Asumsi!$D$65:$F$65,H$5)</f>
        <v>0.05</v>
      </c>
      <c r="I120" s="4"/>
      <c r="J120" s="53"/>
    </row>
    <row r="121" customFormat="false" ht="15" hidden="false" customHeight="false" outlineLevel="0" collapsed="false">
      <c r="B121" s="4" t="s">
        <v>631</v>
      </c>
      <c r="C121" s="17" t="n">
        <f aca="false">INDEX(Asumsi!$D$50:$F$50,C$5)</f>
        <v>0.01</v>
      </c>
      <c r="D121" s="17" t="n">
        <f aca="false">INDEX(Asumsi!$D$50:$F$50,D$5)</f>
        <v>0.005</v>
      </c>
      <c r="E121" s="17" t="n">
        <f aca="false">INDEX(Asumsi!$D$50:$F$50,E$5)</f>
        <v>0.003</v>
      </c>
      <c r="F121" s="17" t="n">
        <f aca="false">INDEX(Asumsi!$D$50:$F$50,F$5)</f>
        <v>0.005</v>
      </c>
      <c r="G121" s="17" t="n">
        <f aca="false">INDEX(Asumsi!$D$50:$F$50,G$5)</f>
        <v>0.005</v>
      </c>
      <c r="H121" s="17" t="n">
        <f aca="false">INDEX(Asumsi!$D$50:$F$50,H$5)</f>
        <v>0.005</v>
      </c>
      <c r="I121" s="4"/>
      <c r="J121" s="53"/>
    </row>
    <row r="122" customFormat="false" ht="15" hidden="false" customHeight="false" outlineLevel="0" collapsed="false">
      <c r="B122" s="4" t="s">
        <v>632</v>
      </c>
      <c r="C122" s="9" t="n">
        <f aca="false">INDEX(Asumsi!$D$49:$F$49,C$5)</f>
        <v>25</v>
      </c>
      <c r="D122" s="9" t="n">
        <f aca="false">INDEX(Asumsi!$D$49:$F$49,D$5)</f>
        <v>25</v>
      </c>
      <c r="E122" s="9" t="n">
        <f aca="false">INDEX(Asumsi!$D$49:$F$49,E$5)</f>
        <v>25</v>
      </c>
      <c r="F122" s="9" t="n">
        <f aca="false">INDEX(Asumsi!$D$49:$F$49,F$5)</f>
        <v>25</v>
      </c>
      <c r="G122" s="9" t="n">
        <f aca="false">INDEX(Asumsi!$D$49:$F$49,G$5)</f>
        <v>25</v>
      </c>
      <c r="H122" s="9" t="n">
        <f aca="false">INDEX(Asumsi!$D$49:$F$49,H$5)</f>
        <v>25</v>
      </c>
      <c r="I122" s="4"/>
      <c r="J122" s="53"/>
    </row>
    <row r="123" customFormat="false" ht="15" hidden="false" customHeight="false" outlineLevel="0" collapsed="false">
      <c r="B123" s="4" t="s">
        <v>633</v>
      </c>
      <c r="C123" s="9" t="n">
        <f aca="false">INDEX(Asumsi!$D$12:$F$12,C$5)</f>
        <v>17917</v>
      </c>
      <c r="D123" s="9" t="n">
        <f aca="false">INDEX(Asumsi!$D$12:$F$12,D$5)</f>
        <v>17917</v>
      </c>
      <c r="E123" s="9" t="n">
        <f aca="false">INDEX(Asumsi!$D$12:$F$12,E$5)</f>
        <v>17917</v>
      </c>
      <c r="F123" s="9" t="n">
        <f aca="false">INDEX(Asumsi!$D$12:$F$12,F$5)</f>
        <v>17917</v>
      </c>
      <c r="G123" s="9" t="n">
        <f aca="false">INDEX(Asumsi!$D$12:$F$12,G$5)</f>
        <v>17917</v>
      </c>
      <c r="H123" s="9" t="n">
        <f aca="false">INDEX(Asumsi!$D$12:$F$12,H$5)</f>
        <v>17917</v>
      </c>
      <c r="I123" s="4"/>
      <c r="J123" s="53"/>
    </row>
    <row r="124" customFormat="false" ht="15" hidden="false" customHeight="false" outlineLevel="0" collapsed="false">
      <c r="B124" s="4" t="s">
        <v>634</v>
      </c>
      <c r="C124" s="11" t="n">
        <f aca="false">INDEX(Asumsi!$D$69:$F$69,C$5)</f>
        <v>0.05</v>
      </c>
      <c r="D124" s="11" t="n">
        <f aca="false">INDEX(Asumsi!$D$69:$F$69,D$5)</f>
        <v>0.04</v>
      </c>
      <c r="E124" s="11" t="n">
        <f aca="false">INDEX(Asumsi!$D$69:$F$69,E$5)</f>
        <v>0.03</v>
      </c>
      <c r="F124" s="11" t="n">
        <f aca="false">INDEX(Asumsi!$D$69:$F$69,F$5)</f>
        <v>0.04</v>
      </c>
      <c r="G124" s="11" t="n">
        <f aca="false">INDEX(Asumsi!$D$69:$F$69,G$5)</f>
        <v>0.04</v>
      </c>
      <c r="H124" s="11" t="n">
        <f aca="false">INDEX(Asumsi!$D$69:$F$69,H$5)</f>
        <v>0.04</v>
      </c>
      <c r="I124" s="4"/>
      <c r="J124" s="53"/>
    </row>
    <row r="125" customFormat="false" ht="15" hidden="false" customHeight="false" outlineLevel="0" collapsed="false">
      <c r="B125" s="4" t="s">
        <v>635</v>
      </c>
      <c r="C125" s="9" t="n">
        <f aca="false">CHOOSE(C$5,'Proyeksi 24 Bulan'!$AC$50,'Proyeksi 24 Bulan'!$AC$113,'Proyeksi 24 Bulan'!$AC$176)</f>
        <v>1957.72476224596</v>
      </c>
      <c r="D125" s="9" t="n">
        <f aca="false">CHOOSE(D$5,'Proyeksi 24 Bulan'!$AC$50,'Proyeksi 24 Bulan'!$AC$113,'Proyeksi 24 Bulan'!$AC$176)</f>
        <v>3101.69217162075</v>
      </c>
      <c r="E125" s="9" t="n">
        <f aca="false">CHOOSE(E$5,'Proyeksi 24 Bulan'!$AC$50,'Proyeksi 24 Bulan'!$AC$113,'Proyeksi 24 Bulan'!$AC$176)</f>
        <v>4800.79086198348</v>
      </c>
      <c r="F125" s="9" t="n">
        <f aca="false">CHOOSE(F$5,'Proyeksi 24 Bulan'!$AC$50,'Proyeksi 24 Bulan'!$AC$113,'Proyeksi 24 Bulan'!$AC$176)</f>
        <v>3101.69217162075</v>
      </c>
      <c r="G125" s="9" t="n">
        <f aca="false">CHOOSE(G$5,'Proyeksi 24 Bulan'!$AC$50,'Proyeksi 24 Bulan'!$AC$113,'Proyeksi 24 Bulan'!$AC$176)</f>
        <v>3101.69217162075</v>
      </c>
      <c r="H125" s="9" t="n">
        <f aca="false">CHOOSE(H$5,'Proyeksi 24 Bulan'!$AC$50,'Proyeksi 24 Bulan'!$AC$113,'Proyeksi 24 Bulan'!$AC$176)</f>
        <v>3101.69217162075</v>
      </c>
      <c r="I125" s="4"/>
      <c r="J125" s="53"/>
    </row>
    <row r="126" customFormat="false" ht="15" hidden="false" customHeight="false" outlineLevel="0" collapsed="false">
      <c r="B126" s="4" t="s">
        <v>636</v>
      </c>
      <c r="C126" s="11" t="n">
        <f aca="false">INDEX(Asumsi!$D$89:$F$89,C$5)</f>
        <v>0.08</v>
      </c>
      <c r="D126" s="11" t="n">
        <f aca="false">INDEX(Asumsi!$D$89:$F$89,D$5)</f>
        <v>0.1</v>
      </c>
      <c r="E126" s="11" t="n">
        <f aca="false">INDEX(Asumsi!$D$89:$F$89,E$5)</f>
        <v>0.12</v>
      </c>
      <c r="F126" s="11" t="n">
        <f aca="false">INDEX(Asumsi!$D$89:$F$89,F$5)</f>
        <v>0.1</v>
      </c>
      <c r="G126" s="11" t="n">
        <f aca="false">INDEX(Asumsi!$D$89:$F$89,G$5)</f>
        <v>0.1</v>
      </c>
      <c r="H126" s="11" t="n">
        <f aca="false">INDEX(Asumsi!$D$89:$F$89,H$5)</f>
        <v>0.1</v>
      </c>
      <c r="I126" s="4"/>
      <c r="J126" s="53"/>
    </row>
    <row r="127" customFormat="false" ht="15" hidden="false" customHeight="false" outlineLevel="0" collapsed="false">
      <c r="B127" s="4" t="s">
        <v>637</v>
      </c>
      <c r="C127" s="11" t="n">
        <f aca="false">INDEX(Asumsi!$D$88:$F$88,C$5)</f>
        <v>0.1</v>
      </c>
      <c r="D127" s="11" t="n">
        <f aca="false">INDEX(Asumsi!$D$88:$F$88,D$5)</f>
        <v>0.08</v>
      </c>
      <c r="E127" s="11" t="n">
        <f aca="false">INDEX(Asumsi!$D$88:$F$88,E$5)</f>
        <v>0.06</v>
      </c>
      <c r="F127" s="11" t="n">
        <f aca="false">INDEX(Asumsi!$D$88:$F$88,F$5)</f>
        <v>0.08</v>
      </c>
      <c r="G127" s="11" t="n">
        <f aca="false">INDEX(Asumsi!$D$88:$F$88,G$5)</f>
        <v>0.08</v>
      </c>
      <c r="H127" s="11" t="n">
        <f aca="false">INDEX(Asumsi!$D$88:$F$88,H$5)</f>
        <v>0.08</v>
      </c>
      <c r="I127" s="4"/>
      <c r="J127" s="53"/>
    </row>
    <row r="128" customFormat="false" ht="15" hidden="false" customHeight="false" outlineLevel="0" collapsed="false">
      <c r="B128" s="4" t="s">
        <v>638</v>
      </c>
      <c r="C128" s="57" t="n">
        <f aca="false">INDEX(Asumsi!$D$105:$F$105,C$5)</f>
        <v>0.33</v>
      </c>
      <c r="D128" s="57" t="n">
        <f aca="false">INDEX(Asumsi!$D$105:$F$105,D$5)</f>
        <v>0.33</v>
      </c>
      <c r="E128" s="57" t="n">
        <f aca="false">INDEX(Asumsi!$D$105:$F$105,E$5)</f>
        <v>0.33</v>
      </c>
      <c r="F128" s="57" t="n">
        <f aca="false">INDEX(Asumsi!$D$105:$F$105,F$5)</f>
        <v>0.33</v>
      </c>
      <c r="G128" s="57" t="n">
        <f aca="false">INDEX(Asumsi!$D$105:$F$105,G$5)</f>
        <v>0.33</v>
      </c>
      <c r="H128" s="57" t="n">
        <f aca="false">INDEX(Asumsi!$D$105:$F$105,H$5)</f>
        <v>0.33</v>
      </c>
      <c r="I128" s="4"/>
      <c r="J128" s="53"/>
    </row>
    <row r="129" customFormat="false" ht="15" hidden="false" customHeight="false" outlineLevel="0" collapsed="false">
      <c r="B129" s="4" t="s">
        <v>639</v>
      </c>
      <c r="C129" s="9" t="n">
        <f aca="false">INDEX(Asumsi!$D$87:$F$87,C$5)</f>
        <v>350000</v>
      </c>
      <c r="D129" s="9" t="n">
        <f aca="false">INDEX(Asumsi!$D$87:$F$87,D$5)</f>
        <v>250000</v>
      </c>
      <c r="E129" s="9" t="n">
        <f aca="false">INDEX(Asumsi!$D$87:$F$87,E$5)</f>
        <v>180000</v>
      </c>
      <c r="F129" s="9" t="n">
        <f aca="false">INDEX(Asumsi!$D$87:$F$87,F$5)</f>
        <v>250000</v>
      </c>
      <c r="G129" s="9" t="n">
        <f aca="false">INDEX(Asumsi!$D$87:$F$87,G$5)</f>
        <v>250000</v>
      </c>
      <c r="H129" s="9" t="n">
        <f aca="false">INDEX(Asumsi!$D$87:$F$87,H$5)</f>
        <v>250000</v>
      </c>
      <c r="I129" s="4"/>
      <c r="J129" s="53"/>
    </row>
    <row r="130" customFormat="false" ht="15" hidden="false" customHeight="false" outlineLevel="0" collapsed="false">
      <c r="B130" s="4" t="s">
        <v>640</v>
      </c>
      <c r="C130" s="15" t="n">
        <f aca="false">INDEX(Asumsi!$D$71:$F$71,C$5)</f>
        <v>3</v>
      </c>
      <c r="D130" s="15" t="n">
        <f aca="false">INDEX(Asumsi!$D$71:$F$71,D$5)</f>
        <v>2</v>
      </c>
      <c r="E130" s="15" t="n">
        <f aca="false">INDEX(Asumsi!$D$71:$F$71,E$5)</f>
        <v>1.5</v>
      </c>
      <c r="F130" s="15" t="n">
        <f aca="false">INDEX(Asumsi!$D$71:$F$71,F$5)</f>
        <v>2</v>
      </c>
      <c r="G130" s="15" t="n">
        <f aca="false">INDEX(Asumsi!$D$71:$F$71,G$5)</f>
        <v>2</v>
      </c>
      <c r="H130" s="15" t="n">
        <f aca="false">INDEX(Asumsi!$D$71:$F$71,H$5)</f>
        <v>2</v>
      </c>
      <c r="I130" s="4"/>
      <c r="J130" s="53"/>
    </row>
    <row r="131" customFormat="false" ht="15" hidden="false" customHeight="false" outlineLevel="0" collapsed="false">
      <c r="B131" s="4" t="s">
        <v>641</v>
      </c>
      <c r="C131" s="58" t="n">
        <f aca="false">INDEX(Asumsi!$D$70:$F$70,C$5)</f>
        <v>0.4414</v>
      </c>
      <c r="D131" s="58" t="n">
        <f aca="false">INDEX(Asumsi!$D$70:$F$70,D$5)</f>
        <v>0.4414</v>
      </c>
      <c r="E131" s="58" t="n">
        <f aca="false">INDEX(Asumsi!$D$70:$F$70,E$5)</f>
        <v>0.4414</v>
      </c>
      <c r="F131" s="58" t="n">
        <f aca="false">INDEX(Asumsi!$D$70:$F$70,F$5)</f>
        <v>0.4414</v>
      </c>
      <c r="G131" s="58" t="n">
        <f aca="false">INDEX(Asumsi!$D$70:$F$70,G$5)</f>
        <v>0.4414</v>
      </c>
      <c r="H131" s="58" t="n">
        <f aca="false">INDEX(Asumsi!$D$70:$F$70,H$5)</f>
        <v>0.4414</v>
      </c>
      <c r="I131" s="4"/>
      <c r="J131" s="53"/>
    </row>
    <row r="132" customFormat="false" ht="15" hidden="false" customHeight="false" outlineLevel="0" collapsed="false">
      <c r="B132" s="4" t="s">
        <v>642</v>
      </c>
      <c r="C132" s="9" t="n">
        <f aca="false">INDEX(Asumsi!$D$26:$F$26,C$5)</f>
        <v>100000</v>
      </c>
      <c r="D132" s="9" t="n">
        <f aca="false">INDEX(Asumsi!$D$26:$F$26,D$5)</f>
        <v>100000</v>
      </c>
      <c r="E132" s="9" t="n">
        <f aca="false">INDEX(Asumsi!$D$26:$F$26,E$5)</f>
        <v>100000</v>
      </c>
      <c r="F132" s="9" t="n">
        <f aca="false">INDEX(Asumsi!$D$26:$F$26,F$5)</f>
        <v>100000</v>
      </c>
      <c r="G132" s="9" t="n">
        <f aca="false">INDEX(Asumsi!$D$26:$F$26,G$5)</f>
        <v>100000</v>
      </c>
      <c r="H132" s="9" t="n">
        <f aca="false">INDEX(Asumsi!$D$26:$F$26,H$5)</f>
        <v>100000</v>
      </c>
      <c r="I132" s="4"/>
      <c r="J132" s="53"/>
    </row>
    <row r="133" customFormat="false" ht="15" hidden="false" customHeight="false" outlineLevel="0" collapsed="false">
      <c r="B133" s="4" t="s">
        <v>643</v>
      </c>
      <c r="C133" s="9" t="n">
        <f aca="false">INDEX(Asumsi!$D$136:$F$136,C$5)</f>
        <v>5000000</v>
      </c>
      <c r="D133" s="9" t="n">
        <f aca="false">INDEX(Asumsi!$D$136:$F$136,D$5)</f>
        <v>5000000</v>
      </c>
      <c r="E133" s="9" t="n">
        <f aca="false">INDEX(Asumsi!$D$136:$F$136,E$5)</f>
        <v>5000000</v>
      </c>
      <c r="F133" s="9" t="n">
        <f aca="false">INDEX(Asumsi!$D$136:$F$136,F$5)</f>
        <v>5000000</v>
      </c>
      <c r="G133" s="9" t="n">
        <f aca="false">INDEX(Asumsi!$D$136:$F$136,G$5)</f>
        <v>5000000</v>
      </c>
      <c r="H133" s="9" t="n">
        <f aca="false">INDEX(Asumsi!$D$136:$F$136,H$5)</f>
        <v>5000000</v>
      </c>
      <c r="I133" s="4"/>
      <c r="J133" s="53"/>
    </row>
    <row r="134" customFormat="false" ht="15" hidden="false" customHeight="false" outlineLevel="0" collapsed="false">
      <c r="B134" s="4" t="s">
        <v>644</v>
      </c>
      <c r="C134" s="9" t="n">
        <f aca="false">INDEX(Asumsi!$D$48:$F$48,C$5)</f>
        <v>10000000</v>
      </c>
      <c r="D134" s="9" t="n">
        <f aca="false">INDEX(Asumsi!$D$48:$F$48,D$5)</f>
        <v>10000000</v>
      </c>
      <c r="E134" s="9" t="n">
        <f aca="false">INDEX(Asumsi!$D$48:$F$48,E$5)</f>
        <v>10000000</v>
      </c>
      <c r="F134" s="9" t="n">
        <f aca="false">INDEX(Asumsi!$D$48:$F$48,F$5)</f>
        <v>10000000</v>
      </c>
      <c r="G134" s="9" t="n">
        <f aca="false">INDEX(Asumsi!$D$48:$F$48,G$5)</f>
        <v>10000000</v>
      </c>
      <c r="H134" s="9" t="n">
        <f aca="false">INDEX(Asumsi!$D$48:$F$48,H$5)</f>
        <v>10000000</v>
      </c>
      <c r="I134" s="4"/>
      <c r="J134" s="53"/>
    </row>
    <row r="135" customFormat="false" ht="15" hidden="false" customHeight="false" outlineLevel="0" collapsed="false">
      <c r="B135" s="4" t="s">
        <v>645</v>
      </c>
      <c r="C135" s="9" t="n">
        <f aca="false">INDEX(Asumsi!$D$133:$F$133,C$5)</f>
        <v>3000000</v>
      </c>
      <c r="D135" s="9" t="n">
        <f aca="false">INDEX(Asumsi!$D$133:$F$133,D$5)</f>
        <v>3000000</v>
      </c>
      <c r="E135" s="9" t="n">
        <f aca="false">INDEX(Asumsi!$D$133:$F$133,E$5)</f>
        <v>3000000</v>
      </c>
      <c r="F135" s="9" t="n">
        <f aca="false">INDEX(Asumsi!$D$133:$F$133,F$5)</f>
        <v>3000000</v>
      </c>
      <c r="G135" s="9" t="n">
        <f aca="false">INDEX(Asumsi!$D$133:$F$133,G$5)</f>
        <v>3000000</v>
      </c>
      <c r="H135" s="9" t="n">
        <f aca="false">INDEX(Asumsi!$D$133:$F$133,H$5)</f>
        <v>3000000</v>
      </c>
      <c r="I135" s="4"/>
      <c r="J135" s="53"/>
    </row>
    <row r="136" customFormat="false" ht="15" hidden="false" customHeight="false" outlineLevel="0" collapsed="false">
      <c r="B136" s="4" t="s">
        <v>646</v>
      </c>
      <c r="C136" s="9" t="n">
        <f aca="false">INDEX(Asumsi!$D$134:$F$134,C$5)</f>
        <v>15000000</v>
      </c>
      <c r="D136" s="9" t="n">
        <f aca="false">INDEX(Asumsi!$D$134:$F$134,D$5)</f>
        <v>15000000</v>
      </c>
      <c r="E136" s="9" t="n">
        <f aca="false">INDEX(Asumsi!$D$134:$F$134,E$5)</f>
        <v>15000000</v>
      </c>
      <c r="F136" s="9" t="n">
        <f aca="false">INDEX(Asumsi!$D$134:$F$134,F$5)</f>
        <v>15000000</v>
      </c>
      <c r="G136" s="9" t="n">
        <f aca="false">INDEX(Asumsi!$D$134:$F$134,G$5)</f>
        <v>15000000</v>
      </c>
      <c r="H136" s="9" t="n">
        <f aca="false">INDEX(Asumsi!$D$134:$F$134,H$5)</f>
        <v>15000000</v>
      </c>
      <c r="I136" s="4"/>
      <c r="J136" s="53"/>
    </row>
    <row r="137" customFormat="false" ht="15" hidden="false" customHeight="false" outlineLevel="0" collapsed="false">
      <c r="B137" s="4" t="s">
        <v>647</v>
      </c>
      <c r="C137" s="9" t="n">
        <f aca="false">INDEX(Asumsi!$D$135:$F$135,C$5)</f>
        <v>30000000</v>
      </c>
      <c r="D137" s="9" t="n">
        <f aca="false">INDEX(Asumsi!$D$135:$F$135,D$5)</f>
        <v>30000000</v>
      </c>
      <c r="E137" s="9" t="n">
        <f aca="false">INDEX(Asumsi!$D$135:$F$135,E$5)</f>
        <v>30000000</v>
      </c>
      <c r="F137" s="9" t="n">
        <f aca="false">INDEX(Asumsi!$D$135:$F$135,F$5)</f>
        <v>30000000</v>
      </c>
      <c r="G137" s="9" t="n">
        <f aca="false">INDEX(Asumsi!$D$135:$F$135,G$5)</f>
        <v>30000000</v>
      </c>
      <c r="H137" s="9" t="n">
        <f aca="false">INDEX(Asumsi!$D$135:$F$135,H$5)</f>
        <v>30000000</v>
      </c>
      <c r="I137" s="4"/>
      <c r="J137" s="53"/>
    </row>
    <row r="139" customFormat="false" ht="15" hidden="false" customHeight="false" outlineLevel="0" collapsed="false">
      <c r="A139" s="2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27" min="3" style="0" width="13"/>
    <col collapsed="false" customWidth="true" hidden="false" outlineLevel="0" max="30" min="28" style="0" width="16"/>
  </cols>
  <sheetData>
    <row r="1" customFormat="false" ht="17.35" hidden="false" customHeight="false" outlineLevel="0" collapsed="false">
      <c r="A1" s="1" t="s">
        <v>649</v>
      </c>
    </row>
    <row r="2" customFormat="false" ht="15" hidden="false" customHeight="false" outlineLevel="0" collapsed="false">
      <c r="A2" s="2" t="s">
        <v>650</v>
      </c>
    </row>
    <row r="3" customFormat="false" ht="15" hidden="false" customHeight="false" outlineLevel="0" collapsed="false">
      <c r="A3" s="3" t="str">
        <f aca="false">"Skenario aktif: "&amp;Asumsi!$D$4</f>
        <v>Skenario aktif: Dasar</v>
      </c>
    </row>
    <row r="5" customFormat="false" ht="23.85" hidden="false" customHeight="false" outlineLevel="0" collapsed="false">
      <c r="A5" s="59" t="s">
        <v>88</v>
      </c>
      <c r="B5" s="59" t="s">
        <v>4</v>
      </c>
      <c r="C5" s="60" t="n">
        <v>0</v>
      </c>
      <c r="D5" s="60" t="n">
        <v>1</v>
      </c>
      <c r="E5" s="60" t="n">
        <v>2</v>
      </c>
      <c r="F5" s="60" t="n">
        <v>3</v>
      </c>
      <c r="G5" s="60" t="n">
        <v>4</v>
      </c>
      <c r="H5" s="60" t="n">
        <v>5</v>
      </c>
      <c r="I5" s="60" t="n">
        <v>6</v>
      </c>
      <c r="J5" s="60" t="n">
        <v>7</v>
      </c>
      <c r="K5" s="60" t="n">
        <v>8</v>
      </c>
      <c r="L5" s="60" t="n">
        <v>9</v>
      </c>
      <c r="M5" s="60" t="n">
        <v>10</v>
      </c>
      <c r="N5" s="60" t="n">
        <v>11</v>
      </c>
      <c r="O5" s="60" t="n">
        <v>12</v>
      </c>
      <c r="P5" s="60" t="n">
        <v>13</v>
      </c>
      <c r="Q5" s="60" t="n">
        <v>14</v>
      </c>
      <c r="R5" s="60" t="n">
        <v>15</v>
      </c>
      <c r="S5" s="60" t="n">
        <v>16</v>
      </c>
      <c r="T5" s="60" t="n">
        <v>17</v>
      </c>
      <c r="U5" s="60" t="n">
        <v>18</v>
      </c>
      <c r="V5" s="60" t="n">
        <v>19</v>
      </c>
      <c r="W5" s="60" t="n">
        <v>20</v>
      </c>
      <c r="X5" s="60" t="n">
        <v>21</v>
      </c>
      <c r="Y5" s="60" t="n">
        <v>22</v>
      </c>
      <c r="Z5" s="60" t="n">
        <v>23</v>
      </c>
      <c r="AA5" s="60" t="n">
        <v>24</v>
      </c>
      <c r="AB5" s="6" t="s">
        <v>651</v>
      </c>
      <c r="AC5" s="6" t="s">
        <v>652</v>
      </c>
      <c r="AD5" s="6" t="s">
        <v>653</v>
      </c>
    </row>
    <row r="6" customFormat="false" ht="15" hidden="false" customHeight="false" outlineLevel="0" collapsed="false">
      <c r="A6" s="25" t="s">
        <v>654</v>
      </c>
      <c r="C6" s="61" t="s">
        <v>655</v>
      </c>
      <c r="D6" s="5" t="n">
        <f aca="false">EDATE(Asumsi!$G$10,D$5-1)</f>
        <v>46419</v>
      </c>
      <c r="E6" s="5" t="n">
        <f aca="false">EDATE(Asumsi!$G$10,E$5-1)</f>
        <v>46447</v>
      </c>
      <c r="F6" s="5" t="n">
        <f aca="false">EDATE(Asumsi!$G$10,F$5-1)</f>
        <v>46478</v>
      </c>
      <c r="G6" s="5" t="n">
        <f aca="false">EDATE(Asumsi!$G$10,G$5-1)</f>
        <v>46508</v>
      </c>
      <c r="H6" s="5" t="n">
        <f aca="false">EDATE(Asumsi!$G$10,H$5-1)</f>
        <v>46539</v>
      </c>
      <c r="I6" s="5" t="n">
        <f aca="false">EDATE(Asumsi!$G$10,I$5-1)</f>
        <v>46569</v>
      </c>
      <c r="J6" s="5" t="n">
        <f aca="false">EDATE(Asumsi!$G$10,J$5-1)</f>
        <v>46600</v>
      </c>
      <c r="K6" s="5" t="n">
        <f aca="false">EDATE(Asumsi!$G$10,K$5-1)</f>
        <v>46631</v>
      </c>
      <c r="L6" s="5" t="n">
        <f aca="false">EDATE(Asumsi!$G$10,L$5-1)</f>
        <v>46661</v>
      </c>
      <c r="M6" s="5" t="n">
        <f aca="false">EDATE(Asumsi!$G$10,M$5-1)</f>
        <v>46692</v>
      </c>
      <c r="N6" s="5" t="n">
        <f aca="false">EDATE(Asumsi!$G$10,N$5-1)</f>
        <v>46722</v>
      </c>
      <c r="O6" s="5" t="n">
        <f aca="false">EDATE(Asumsi!$G$10,O$5-1)</f>
        <v>46753</v>
      </c>
      <c r="P6" s="5" t="n">
        <f aca="false">EDATE(Asumsi!$G$10,P$5-1)</f>
        <v>46784</v>
      </c>
      <c r="Q6" s="5" t="n">
        <f aca="false">EDATE(Asumsi!$G$10,Q$5-1)</f>
        <v>46813</v>
      </c>
      <c r="R6" s="5" t="n">
        <f aca="false">EDATE(Asumsi!$G$10,R$5-1)</f>
        <v>46844</v>
      </c>
      <c r="S6" s="5" t="n">
        <f aca="false">EDATE(Asumsi!$G$10,S$5-1)</f>
        <v>46874</v>
      </c>
      <c r="T6" s="5" t="n">
        <f aca="false">EDATE(Asumsi!$G$10,T$5-1)</f>
        <v>46905</v>
      </c>
      <c r="U6" s="5" t="n">
        <f aca="false">EDATE(Asumsi!$G$10,U$5-1)</f>
        <v>46935</v>
      </c>
      <c r="V6" s="5" t="n">
        <f aca="false">EDATE(Asumsi!$G$10,V$5-1)</f>
        <v>46966</v>
      </c>
      <c r="W6" s="5" t="n">
        <f aca="false">EDATE(Asumsi!$G$10,W$5-1)</f>
        <v>46997</v>
      </c>
      <c r="X6" s="5" t="n">
        <f aca="false">EDATE(Asumsi!$G$10,X$5-1)</f>
        <v>47027</v>
      </c>
      <c r="Y6" s="5" t="n">
        <f aca="false">EDATE(Asumsi!$G$10,Y$5-1)</f>
        <v>47058</v>
      </c>
      <c r="Z6" s="5" t="n">
        <f aca="false">EDATE(Asumsi!$G$10,Z$5-1)</f>
        <v>47088</v>
      </c>
      <c r="AA6" s="5" t="n">
        <f aca="false">EDATE(Asumsi!$G$10,AA$5-1)</f>
        <v>47119</v>
      </c>
    </row>
    <row r="7" customFormat="false" ht="15" hidden="false" customHeight="false" outlineLevel="0" collapsed="false">
      <c r="A7" s="7" t="s">
        <v>656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15" hidden="false" customHeight="false" outlineLevel="0" collapsed="false">
      <c r="A8" s="25" t="s">
        <v>657</v>
      </c>
      <c r="B8" s="2" t="s">
        <v>658</v>
      </c>
      <c r="C8" s="9" t="n">
        <f aca="false">CHOOSE(Asumsi!$D$5,C38,C101,C164)</f>
        <v>0</v>
      </c>
      <c r="D8" s="9" t="n">
        <f aca="false">CHOOSE(Asumsi!$D$5,D38,D101,D164)</f>
        <v>34.1145</v>
      </c>
      <c r="E8" s="9" t="n">
        <f aca="false">CHOOSE(Asumsi!$D$5,E38,E101,E164)</f>
        <v>48.90942</v>
      </c>
      <c r="F8" s="9" t="n">
        <f aca="false">CHOOSE(Asumsi!$D$5,F38,F101,F164)</f>
        <v>64.4053032</v>
      </c>
      <c r="G8" s="9" t="n">
        <f aca="false">CHOOSE(Asumsi!$D$5,G38,G101,G164)</f>
        <v>80.677531872</v>
      </c>
      <c r="H8" s="9" t="n">
        <f aca="false">CHOOSE(Asumsi!$D$5,H38,H101,H164)</f>
        <v>97.80674666112</v>
      </c>
      <c r="I8" s="9" t="n">
        <f aca="false">CHOOSE(Asumsi!$D$5,I38,I101,I164)</f>
        <v>115.879298143795</v>
      </c>
      <c r="J8" s="9" t="n">
        <f aca="false">CHOOSE(Asumsi!$D$5,J38,J101,J164)</f>
        <v>134.987733275093</v>
      </c>
      <c r="K8" s="9" t="n">
        <f aca="false">CHOOSE(Asumsi!$D$5,K38,K101,K164)</f>
        <v>155.231319565703</v>
      </c>
      <c r="L8" s="9" t="n">
        <f aca="false">CHOOSE(Asumsi!$D$5,L38,L101,L164)</f>
        <v>176.716610054417</v>
      </c>
      <c r="M8" s="9" t="n">
        <f aca="false">CHOOSE(Asumsi!$D$5,M38,M101,M164)</f>
        <v>199.558052385291</v>
      </c>
      <c r="N8" s="9" t="n">
        <f aca="false">CHOOSE(Asumsi!$D$5,N38,N101,N164)</f>
        <v>223.878645561573</v>
      </c>
      <c r="O8" s="9" t="n">
        <f aca="false">CHOOSE(Asumsi!$D$5,O38,O101,O164)</f>
        <v>249.81064823254</v>
      </c>
      <c r="P8" s="9" t="n">
        <f aca="false">CHOOSE(Asumsi!$D$5,P38,P101,P164)</f>
        <v>277.496342676142</v>
      </c>
      <c r="Q8" s="9" t="n">
        <f aca="false">CHOOSE(Asumsi!$D$5,Q38,Q101,Q164)</f>
        <v>307.088858971833</v>
      </c>
      <c r="R8" s="9" t="n">
        <f aca="false">CHOOSE(Asumsi!$D$5,R38,R101,R164)</f>
        <v>338.753064215915</v>
      </c>
      <c r="S8" s="9" t="n">
        <f aca="false">CHOOSE(Asumsi!$D$5,S38,S101,S164)</f>
        <v>372.66652201847</v>
      </c>
      <c r="T8" s="9" t="n">
        <f aca="false">CHOOSE(Asumsi!$D$5,T38,T101,T164)</f>
        <v>400.442267947635</v>
      </c>
      <c r="U8" s="9" t="n">
        <f aca="false">CHOOSE(Asumsi!$D$5,U38,U101,U164)</f>
        <v>425.098178739046</v>
      </c>
      <c r="V8" s="9" t="n">
        <f aca="false">CHOOSE(Asumsi!$D$5,V38,V101,V164)</f>
        <v>450.3171122205</v>
      </c>
      <c r="W8" s="9" t="n">
        <f aca="false">CHOOSE(Asumsi!$D$5,W38,W101,W164)</f>
        <v>476.224448867078</v>
      </c>
      <c r="X8" s="9" t="n">
        <f aca="false">CHOOSE(Asumsi!$D$5,X38,X101,X164)</f>
        <v>502.951020288252</v>
      </c>
      <c r="Y8" s="9" t="n">
        <f aca="false">CHOOSE(Asumsi!$D$5,Y38,Y101,Y164)</f>
        <v>530.633806338948</v>
      </c>
      <c r="Z8" s="9" t="n">
        <f aca="false">CHOOSE(Asumsi!$D$5,Z38,Z101,Z164)</f>
        <v>559.416673121324</v>
      </c>
      <c r="AA8" s="9" t="n">
        <f aca="false">CHOOSE(Asumsi!$D$5,AA38,AA101,AA164)</f>
        <v>589.4511559966</v>
      </c>
      <c r="AB8" s="9" t="n">
        <f aca="false">CHOOSE(Asumsi!$D$5,AB38,AB101,AB164)</f>
        <v>1581.97580895153</v>
      </c>
      <c r="AC8" s="9" t="n">
        <f aca="false">CHOOSE(Asumsi!$D$5,AC38,AC101,AC164)</f>
        <v>5230.53945140174</v>
      </c>
      <c r="AD8" s="9" t="n">
        <f aca="false">CHOOSE(Asumsi!$D$5,AD38,AD101,AD164)</f>
        <v>6812.51526035327</v>
      </c>
    </row>
    <row r="9" customFormat="false" ht="15" hidden="false" customHeight="false" outlineLevel="0" collapsed="false">
      <c r="A9" s="25" t="s">
        <v>659</v>
      </c>
      <c r="B9" s="2" t="s">
        <v>46</v>
      </c>
      <c r="C9" s="9" t="n">
        <f aca="false">CHOOSE(Asumsi!$D$5,C41,C104,C167)</f>
        <v>0</v>
      </c>
      <c r="D9" s="9" t="n">
        <f aca="false">CHOOSE(Asumsi!$D$5,D41,D104,D167)</f>
        <v>99618899.402925</v>
      </c>
      <c r="E9" s="9" t="n">
        <f aca="false">CHOOSE(Asumsi!$D$5,E41,E104,E167)</f>
        <v>142822043.143983</v>
      </c>
      <c r="F9" s="9" t="n">
        <f aca="false">CHOOSE(Asumsi!$D$5,F41,F104,F167)</f>
        <v>188072093.112773</v>
      </c>
      <c r="G9" s="9" t="n">
        <f aca="false">CHOOSE(Asumsi!$D$5,G41,G104,G167)</f>
        <v>235589175.618375</v>
      </c>
      <c r="H9" s="9" t="n">
        <f aca="false">CHOOSE(Asumsi!$D$5,H41,H104,H167)</f>
        <v>285608772.122162</v>
      </c>
      <c r="I9" s="9" t="n">
        <f aca="false">CHOOSE(Asumsi!$D$5,I41,I104,I167)</f>
        <v>338383037.848079</v>
      </c>
      <c r="J9" s="9" t="n">
        <f aca="false">CHOOSE(Asumsi!$D$5,J41,J104,J167)</f>
        <v>394182222.273824</v>
      </c>
      <c r="K9" s="9" t="n">
        <f aca="false">CHOOSE(Asumsi!$D$5,K41,K104,K167)</f>
        <v>453296199.797712</v>
      </c>
      <c r="L9" s="9" t="n">
        <f aca="false">CHOOSE(Asumsi!$D$5,L41,L104,L167)</f>
        <v>516036119.533833</v>
      </c>
      <c r="M9" s="9" t="n">
        <f aca="false">CHOOSE(Asumsi!$D$5,M41,M104,M167)</f>
        <v>582736183.89875</v>
      </c>
      <c r="N9" s="9" t="n">
        <f aca="false">CHOOSE(Asumsi!$D$5,N41,N104,N167)</f>
        <v>653755566.420773</v>
      </c>
      <c r="O9" s="9" t="n">
        <f aca="false">CHOOSE(Asumsi!$D$5,O41,O104,O167)</f>
        <v>729480480.032153</v>
      </c>
      <c r="P9" s="9" t="n">
        <f aca="false">CHOOSE(Asumsi!$D$5,P41,P104,P167)</f>
        <v>810326408.000534</v>
      </c>
      <c r="Q9" s="9" t="n">
        <f aca="false">CHOOSE(Asumsi!$D$5,Q41,Q104,Q167)</f>
        <v>896740510.623754</v>
      </c>
      <c r="R9" s="9" t="n">
        <f aca="false">CHOOSE(Asumsi!$D$5,R41,R104,R167)</f>
        <v>989204221.857504</v>
      </c>
      <c r="S9" s="9" t="n">
        <f aca="false">CHOOSE(Asumsi!$D$5,S41,S104,S167)</f>
        <v>1088236051.1746</v>
      </c>
      <c r="T9" s="9" t="n">
        <f aca="false">CHOOSE(Asumsi!$D$5,T41,T104,T167)</f>
        <v>1169344941.51621</v>
      </c>
      <c r="U9" s="9" t="n">
        <f aca="false">CHOOSE(Asumsi!$D$5,U41,U104,U167)</f>
        <v>1241343496.2896</v>
      </c>
      <c r="V9" s="9" t="n">
        <f aca="false">CHOOSE(Asumsi!$D$5,V41,V104,V167)</f>
        <v>1314986152.56591</v>
      </c>
      <c r="W9" s="9" t="n">
        <f aca="false">CHOOSE(Asumsi!$D$5,W41,W104,W167)</f>
        <v>1390639038.08946</v>
      </c>
      <c r="X9" s="9" t="n">
        <f aca="false">CHOOSE(Asumsi!$D$5,X41,X104,X167)</f>
        <v>1468684198.64556</v>
      </c>
      <c r="Y9" s="9" t="n">
        <f aca="false">CHOOSE(Asumsi!$D$5,Y41,Y104,Y167)</f>
        <v>1549521633.71794</v>
      </c>
      <c r="Z9" s="9" t="n">
        <f aca="false">CHOOSE(Asumsi!$D$5,Z41,Z104,Z167)</f>
        <v>1633571451.55263</v>
      </c>
      <c r="AA9" s="9" t="n">
        <f aca="false">CHOOSE(Asumsi!$D$5,AA41,AA104,AA167)</f>
        <v>1721276155.65707</v>
      </c>
      <c r="AB9" s="9" t="n">
        <f aca="false">CHOOSE(Asumsi!$D$5,AB41,AB104,AB167)</f>
        <v>4619580793.20534</v>
      </c>
      <c r="AC9" s="9" t="n">
        <f aca="false">CHOOSE(Asumsi!$D$5,AC41,AC104,AC167)</f>
        <v>15273874259.6908</v>
      </c>
      <c r="AD9" s="9" t="n">
        <f aca="false">CHOOSE(Asumsi!$D$5,AD41,AD104,AD167)</f>
        <v>19893455052.8961</v>
      </c>
    </row>
    <row r="10" customFormat="false" ht="15" hidden="false" customHeight="false" outlineLevel="0" collapsed="false">
      <c r="A10" s="25" t="s">
        <v>660</v>
      </c>
      <c r="B10" s="2" t="s">
        <v>46</v>
      </c>
      <c r="C10" s="9" t="n">
        <f aca="false">CHOOSE(Asumsi!$D$5,C47,C110,C173)</f>
        <v>0</v>
      </c>
      <c r="D10" s="9" t="n">
        <f aca="false">CHOOSE(Asumsi!$D$5,D47,D110,D173)</f>
        <v>3927823.5</v>
      </c>
      <c r="E10" s="9" t="n">
        <f aca="false">CHOOSE(Asumsi!$D$5,E47,E110,E173)</f>
        <v>5650747.29521301</v>
      </c>
      <c r="F10" s="9" t="n">
        <f aca="false">CHOOSE(Asumsi!$D$5,F47,F110,F173)</f>
        <v>7449831.60652528</v>
      </c>
      <c r="G10" s="9" t="n">
        <f aca="false">CHOOSE(Asumsi!$D$5,G47,G110,G173)</f>
        <v>9334908.16626465</v>
      </c>
      <c r="H10" s="9" t="n">
        <f aca="false">CHOOSE(Asumsi!$D$5,H47,H110,H173)</f>
        <v>11311063.1447092</v>
      </c>
      <c r="I10" s="9" t="n">
        <f aca="false">CHOOSE(Asumsi!$D$5,I47,I110,I173)</f>
        <v>13393019.4412479</v>
      </c>
      <c r="J10" s="9" t="n">
        <f aca="false">CHOOSE(Asumsi!$D$5,J47,J110,J173)</f>
        <v>16672066.4666809</v>
      </c>
      <c r="K10" s="9" t="n">
        <f aca="false">CHOOSE(Asumsi!$D$5,K47,K110,K173)</f>
        <v>19162412.1664014</v>
      </c>
      <c r="L10" s="9" t="n">
        <f aca="false">CHOOSE(Asumsi!$D$5,L47,L110,L173)</f>
        <v>21804749.6575702</v>
      </c>
      <c r="M10" s="9" t="n">
        <f aca="false">CHOOSE(Asumsi!$D$5,M47,M110,M173)</f>
        <v>24613623.5204642</v>
      </c>
      <c r="N10" s="9" t="n">
        <f aca="false">CHOOSE(Asumsi!$D$5,N47,N110,N173)</f>
        <v>27604556.9842984</v>
      </c>
      <c r="O10" s="9" t="n">
        <f aca="false">CHOOSE(Asumsi!$D$5,O47,O110,O173)</f>
        <v>30794151.4668343</v>
      </c>
      <c r="P10" s="9" t="n">
        <f aca="false">CHOOSE(Asumsi!$D$5,P47,P110,P173)</f>
        <v>34200192.1508481</v>
      </c>
      <c r="Q10" s="9" t="n">
        <f aca="false">CHOOSE(Asumsi!$D$5,Q47,Q110,Q173)</f>
        <v>37835029.4461674</v>
      </c>
      <c r="R10" s="9" t="n">
        <f aca="false">CHOOSE(Asumsi!$D$5,R47,R110,R173)</f>
        <v>41726143.5485723</v>
      </c>
      <c r="S10" s="9" t="n">
        <f aca="false">CHOOSE(Asumsi!$D$5,S47,S110,S173)</f>
        <v>45895553.0374177</v>
      </c>
      <c r="T10" s="9" t="n">
        <f aca="false">CHOOSE(Asumsi!$D$5,T47,T110,T173)</f>
        <v>49286090.1711705</v>
      </c>
      <c r="U10" s="9" t="n">
        <f aca="false">CHOOSE(Asumsi!$D$5,U47,U110,U173)</f>
        <v>52281145.3688098</v>
      </c>
      <c r="V10" s="9" t="n">
        <f aca="false">CHOOSE(Asumsi!$D$5,V47,V110,V173)</f>
        <v>55346003.3271753</v>
      </c>
      <c r="W10" s="9" t="n">
        <f aca="false">CHOOSE(Asumsi!$D$5,W47,W110,W173)</f>
        <v>58495926.961465</v>
      </c>
      <c r="X10" s="9" t="n">
        <f aca="false">CHOOSE(Asumsi!$D$5,X47,X110,X173)</f>
        <v>61746848.5345154</v>
      </c>
      <c r="Y10" s="9" t="n">
        <f aca="false">CHOOSE(Asumsi!$D$5,Y47,Y110,Y173)</f>
        <v>65115454.6506901</v>
      </c>
      <c r="Z10" s="9" t="n">
        <f aca="false">CHOOSE(Asumsi!$D$5,Z47,Z110,Z173)</f>
        <v>68619276.2568543</v>
      </c>
      <c r="AA10" s="9" t="n">
        <f aca="false">CHOOSE(Asumsi!$D$5,AA47,AA110,AA173)</f>
        <v>72276784.1531674</v>
      </c>
      <c r="AB10" s="9" t="n">
        <f aca="false">CHOOSE(Asumsi!$D$5,AB47,AB110,AB173)</f>
        <v>191718953.416209</v>
      </c>
      <c r="AC10" s="9" t="n">
        <f aca="false">CHOOSE(Asumsi!$D$5,AC47,AC110,AC173)</f>
        <v>642824447.606853</v>
      </c>
      <c r="AD10" s="9" t="n">
        <f aca="false">CHOOSE(Asumsi!$D$5,AD47,AD110,AD173)</f>
        <v>834543401.023063</v>
      </c>
    </row>
    <row r="11" customFormat="false" ht="15" hidden="false" customHeight="false" outlineLevel="0" collapsed="false">
      <c r="A11" s="25" t="s">
        <v>661</v>
      </c>
      <c r="B11" s="2" t="s">
        <v>46</v>
      </c>
      <c r="C11" s="9" t="n">
        <f aca="false">CHOOSE(Asumsi!$D$5,C60,C123,C186)</f>
        <v>-1090756.38</v>
      </c>
      <c r="D11" s="9" t="n">
        <f aca="false">CHOOSE(Asumsi!$D$5,D60,D123,D186)</f>
        <v>1336870.77291</v>
      </c>
      <c r="E11" s="9" t="n">
        <f aca="false">CHOOSE(Asumsi!$D$5,E60,E123,E186)</f>
        <v>2318070.35285953</v>
      </c>
      <c r="F11" s="9" t="n">
        <f aca="false">CHOOSE(Asumsi!$D$5,F60,F123,F186)</f>
        <v>3335273.82667459</v>
      </c>
      <c r="G11" s="9" t="n">
        <f aca="false">CHOOSE(Asumsi!$D$5,G60,G123,G186)</f>
        <v>3129729.36232632</v>
      </c>
      <c r="H11" s="9" t="n">
        <f aca="false">CHOOSE(Asumsi!$D$5,H60,H123,H186)</f>
        <v>4230549.86282438</v>
      </c>
      <c r="I11" s="9" t="n">
        <f aca="false">CHOOSE(Asumsi!$D$5,I60,I123,I186)</f>
        <v>5385485.2887855</v>
      </c>
      <c r="J11" s="9" t="n">
        <f aca="false">CHOOSE(Asumsi!$D$5,J60,J123,J186)</f>
        <v>7681457.72964534</v>
      </c>
      <c r="K11" s="9" t="n">
        <f aca="false">CHOOSE(Asumsi!$D$5,K60,K123,K186)</f>
        <v>9127896.24289446</v>
      </c>
      <c r="L11" s="9" t="n">
        <f aca="false">CHOOSE(Asumsi!$D$5,L60,L123,L186)</f>
        <v>10660275.7161668</v>
      </c>
      <c r="M11" s="9" t="n">
        <f aca="false">CHOOSE(Asumsi!$D$5,M60,M123,M186)</f>
        <v>12287456.9428002</v>
      </c>
      <c r="N11" s="9" t="n">
        <f aca="false">CHOOSE(Asumsi!$D$5,N60,N123,N186)</f>
        <v>14018786.7172352</v>
      </c>
      <c r="O11" s="9" t="n">
        <f aca="false">CHOOSE(Asumsi!$D$5,O60,O123,O186)</f>
        <v>15864167.8266091</v>
      </c>
      <c r="P11" s="9" t="n">
        <f aca="false">CHOOSE(Asumsi!$D$5,P60,P123,P186)</f>
        <v>17201446.568222</v>
      </c>
      <c r="Q11" s="9" t="n">
        <f aca="false">CHOOSE(Asumsi!$D$5,Q60,Q123,Q186)</f>
        <v>19296442.3959191</v>
      </c>
      <c r="R11" s="9" t="n">
        <f aca="false">CHOOSE(Asumsi!$D$5,R60,R123,R186)</f>
        <v>21539680.7688652</v>
      </c>
      <c r="S11" s="9" t="n">
        <f aca="false">CHOOSE(Asumsi!$D$5,S60,S123,S186)</f>
        <v>23944013.3677373</v>
      </c>
      <c r="T11" s="9" t="n">
        <f aca="false">CHOOSE(Asumsi!$D$5,T60,T123,T186)</f>
        <v>25833888.0122294</v>
      </c>
      <c r="U11" s="9" t="n">
        <f aca="false">CHOOSE(Asumsi!$D$5,U60,U123,U186)</f>
        <v>27455859.7060509</v>
      </c>
      <c r="V11" s="9" t="n">
        <f aca="false">CHOOSE(Asumsi!$D$5,V60,V123,V186)</f>
        <v>29106807.9741596</v>
      </c>
      <c r="W11" s="9" t="n">
        <f aca="false">CHOOSE(Asumsi!$D$5,W60,W123,W186)</f>
        <v>30794795.468688</v>
      </c>
      <c r="X11" s="9" t="n">
        <f aca="false">CHOOSE(Asumsi!$D$5,X60,X123,X186)</f>
        <v>32528202.4159464</v>
      </c>
      <c r="Y11" s="9" t="n">
        <f aca="false">CHOOSE(Asumsi!$D$5,Y60,Y123,Y186)</f>
        <v>34315770.6863225</v>
      </c>
      <c r="Z11" s="9" t="n">
        <f aca="false">CHOOSE(Asumsi!$D$5,Z60,Z123,Z186)</f>
        <v>36166650.3259276</v>
      </c>
      <c r="AA11" s="9" t="n">
        <f aca="false">CHOOSE(Asumsi!$D$5,AA60,AA123,AA186)</f>
        <v>38090448.8075668</v>
      </c>
      <c r="AB11" s="9" t="n">
        <f aca="false">CHOOSE(Asumsi!$D$5,AB60,AB123,AB186)</f>
        <v>89376020.6417314</v>
      </c>
      <c r="AC11" s="9" t="n">
        <f aca="false">CHOOSE(Asumsi!$D$5,AC60,AC123,AC186)</f>
        <v>336274006.497635</v>
      </c>
      <c r="AD11" s="9" t="n">
        <f aca="false">CHOOSE(Asumsi!$D$5,AD60,AD123,AD186)</f>
        <v>424559270.759366</v>
      </c>
    </row>
    <row r="12" customFormat="false" ht="15" hidden="false" customHeight="false" outlineLevel="0" collapsed="false">
      <c r="A12" s="25" t="s">
        <v>662</v>
      </c>
      <c r="B12" s="2" t="s">
        <v>46</v>
      </c>
      <c r="C12" s="9" t="n">
        <f aca="false">CHOOSE(Asumsi!$D$5,C71,C134,C197)</f>
        <v>473195491</v>
      </c>
      <c r="D12" s="9" t="n">
        <f aca="false">CHOOSE(Asumsi!$D$5,D71,D134,D197)</f>
        <v>100741261</v>
      </c>
      <c r="E12" s="9" t="n">
        <f aca="false">CHOOSE(Asumsi!$D$5,E71,E134,E197)</f>
        <v>100741261</v>
      </c>
      <c r="F12" s="9" t="n">
        <f aca="false">CHOOSE(Asumsi!$D$5,F71,F134,F197)</f>
        <v>100741261</v>
      </c>
      <c r="G12" s="9" t="n">
        <f aca="false">CHOOSE(Asumsi!$D$5,G71,G134,G197)</f>
        <v>120741261</v>
      </c>
      <c r="H12" s="9" t="n">
        <f aca="false">CHOOSE(Asumsi!$D$5,H71,H134,H197)</f>
        <v>120741261</v>
      </c>
      <c r="I12" s="9" t="n">
        <f aca="false">CHOOSE(Asumsi!$D$5,I71,I134,I197)</f>
        <v>120741261</v>
      </c>
      <c r="J12" s="9" t="n">
        <f aca="false">CHOOSE(Asumsi!$D$5,J71,J134,J197)</f>
        <v>120741261</v>
      </c>
      <c r="K12" s="9" t="n">
        <f aca="false">CHOOSE(Asumsi!$D$5,K71,K134,K197)</f>
        <v>120741261</v>
      </c>
      <c r="L12" s="9" t="n">
        <f aca="false">CHOOSE(Asumsi!$D$5,L71,L134,L197)</f>
        <v>120741261</v>
      </c>
      <c r="M12" s="9" t="n">
        <f aca="false">CHOOSE(Asumsi!$D$5,M71,M134,M197)</f>
        <v>120741261</v>
      </c>
      <c r="N12" s="9" t="n">
        <f aca="false">CHOOSE(Asumsi!$D$5,N71,N134,N197)</f>
        <v>120741261</v>
      </c>
      <c r="O12" s="9" t="n">
        <f aca="false">CHOOSE(Asumsi!$D$5,O71,O134,O197)</f>
        <v>122515044</v>
      </c>
      <c r="P12" s="9" t="n">
        <f aca="false">CHOOSE(Asumsi!$D$5,P71,P134,P197)</f>
        <v>198741261</v>
      </c>
      <c r="Q12" s="9" t="n">
        <f aca="false">CHOOSE(Asumsi!$D$5,Q71,Q134,Q197)</f>
        <v>163741261</v>
      </c>
      <c r="R12" s="9" t="n">
        <f aca="false">CHOOSE(Asumsi!$D$5,R71,R134,R197)</f>
        <v>163741261</v>
      </c>
      <c r="S12" s="9" t="n">
        <f aca="false">CHOOSE(Asumsi!$D$5,S71,S134,S197)</f>
        <v>163741261</v>
      </c>
      <c r="T12" s="9" t="n">
        <f aca="false">CHOOSE(Asumsi!$D$5,T71,T134,T197)</f>
        <v>163741261</v>
      </c>
      <c r="U12" s="9" t="n">
        <f aca="false">CHOOSE(Asumsi!$D$5,U71,U134,U197)</f>
        <v>163741261</v>
      </c>
      <c r="V12" s="9" t="n">
        <f aca="false">CHOOSE(Asumsi!$D$5,V71,V134,V197)</f>
        <v>163741261</v>
      </c>
      <c r="W12" s="9" t="n">
        <f aca="false">CHOOSE(Asumsi!$D$5,W71,W134,W197)</f>
        <v>163741261</v>
      </c>
      <c r="X12" s="9" t="n">
        <f aca="false">CHOOSE(Asumsi!$D$5,X71,X134,X197)</f>
        <v>163741261</v>
      </c>
      <c r="Y12" s="9" t="n">
        <f aca="false">CHOOSE(Asumsi!$D$5,Y71,Y134,Y197)</f>
        <v>163741261</v>
      </c>
      <c r="Z12" s="9" t="n">
        <f aca="false">CHOOSE(Asumsi!$D$5,Z71,Z134,Z197)</f>
        <v>163741261</v>
      </c>
      <c r="AA12" s="9" t="n">
        <f aca="false">CHOOSE(Asumsi!$D$5,AA71,AA134,AA197)</f>
        <v>165515044</v>
      </c>
      <c r="AB12" s="9" t="n">
        <f aca="false">CHOOSE(Asumsi!$D$5,AB71,AB134,AB197)</f>
        <v>1390668915</v>
      </c>
      <c r="AC12" s="9" t="n">
        <f aca="false">CHOOSE(Asumsi!$D$5,AC71,AC134,AC197)</f>
        <v>2001668915</v>
      </c>
      <c r="AD12" s="9" t="n">
        <f aca="false">CHOOSE(Asumsi!$D$5,AD71,AD134,AD197)</f>
        <v>3865533321</v>
      </c>
    </row>
    <row r="13" customFormat="false" ht="15" hidden="false" customHeight="false" outlineLevel="0" collapsed="false">
      <c r="A13" s="25" t="s">
        <v>663</v>
      </c>
      <c r="B13" s="2" t="s">
        <v>46</v>
      </c>
      <c r="C13" s="9" t="n">
        <f aca="false">CHOOSE(Asumsi!$D$5,C73,C136,C199)</f>
        <v>-474286247.38</v>
      </c>
      <c r="D13" s="9" t="n">
        <f aca="false">CHOOSE(Asumsi!$D$5,D73,D136,D199)</f>
        <v>-99404390.22709</v>
      </c>
      <c r="E13" s="9" t="n">
        <f aca="false">CHOOSE(Asumsi!$D$5,E73,E136,E199)</f>
        <v>-98423190.6471405</v>
      </c>
      <c r="F13" s="9" t="n">
        <f aca="false">CHOOSE(Asumsi!$D$5,F73,F136,F199)</f>
        <v>-97405987.1733254</v>
      </c>
      <c r="G13" s="9" t="n">
        <f aca="false">CHOOSE(Asumsi!$D$5,G73,G136,G199)</f>
        <v>-117611531.637674</v>
      </c>
      <c r="H13" s="9" t="n">
        <f aca="false">CHOOSE(Asumsi!$D$5,H73,H136,H199)</f>
        <v>-116510711.137176</v>
      </c>
      <c r="I13" s="9" t="n">
        <f aca="false">CHOOSE(Asumsi!$D$5,I73,I136,I199)</f>
        <v>-115355775.711215</v>
      </c>
      <c r="J13" s="9" t="n">
        <f aca="false">CHOOSE(Asumsi!$D$5,J73,J136,J199)</f>
        <v>-113059803.270355</v>
      </c>
      <c r="K13" s="9" t="n">
        <f aca="false">CHOOSE(Asumsi!$D$5,K73,K136,K199)</f>
        <v>-111613364.757106</v>
      </c>
      <c r="L13" s="9" t="n">
        <f aca="false">CHOOSE(Asumsi!$D$5,L73,L136,L199)</f>
        <v>-110080985.283833</v>
      </c>
      <c r="M13" s="9" t="n">
        <f aca="false">CHOOSE(Asumsi!$D$5,M73,M136,M199)</f>
        <v>-108453804.0572</v>
      </c>
      <c r="N13" s="9" t="n">
        <f aca="false">CHOOSE(Asumsi!$D$5,N73,N136,N199)</f>
        <v>-106722474.282765</v>
      </c>
      <c r="O13" s="9" t="n">
        <f aca="false">CHOOSE(Asumsi!$D$5,O73,O136,O199)</f>
        <v>-106650876.173391</v>
      </c>
      <c r="P13" s="9" t="n">
        <f aca="false">CHOOSE(Asumsi!$D$5,P73,P136,P199)</f>
        <v>-181539814.431778</v>
      </c>
      <c r="Q13" s="9" t="n">
        <f aca="false">CHOOSE(Asumsi!$D$5,Q73,Q136,Q199)</f>
        <v>-144444818.604081</v>
      </c>
      <c r="R13" s="9" t="n">
        <f aca="false">CHOOSE(Asumsi!$D$5,R73,R136,R199)</f>
        <v>-142201580.231135</v>
      </c>
      <c r="S13" s="9" t="n">
        <f aca="false">CHOOSE(Asumsi!$D$5,S73,S136,S199)</f>
        <v>-139797247.632263</v>
      </c>
      <c r="T13" s="9" t="n">
        <f aca="false">CHOOSE(Asumsi!$D$5,T73,T136,T199)</f>
        <v>-137907372.987771</v>
      </c>
      <c r="U13" s="9" t="n">
        <f aca="false">CHOOSE(Asumsi!$D$5,U73,U136,U199)</f>
        <v>-136285401.293949</v>
      </c>
      <c r="V13" s="9" t="n">
        <f aca="false">CHOOSE(Asumsi!$D$5,V73,V136,V199)</f>
        <v>-134634453.02584</v>
      </c>
      <c r="W13" s="9" t="n">
        <f aca="false">CHOOSE(Asumsi!$D$5,W73,W136,W199)</f>
        <v>-132946465.531312</v>
      </c>
      <c r="X13" s="9" t="n">
        <f aca="false">CHOOSE(Asumsi!$D$5,X73,X136,X199)</f>
        <v>-131213058.584054</v>
      </c>
      <c r="Y13" s="9" t="n">
        <f aca="false">CHOOSE(Asumsi!$D$5,Y73,Y136,Y199)</f>
        <v>-129425490.313678</v>
      </c>
      <c r="Z13" s="9" t="n">
        <f aca="false">CHOOSE(Asumsi!$D$5,Z73,Z136,Z199)</f>
        <v>-127574610.674072</v>
      </c>
      <c r="AA13" s="9" t="n">
        <f aca="false">CHOOSE(Asumsi!$D$5,AA73,AA136,AA199)</f>
        <v>-127424595.192433</v>
      </c>
      <c r="AB13" s="9" t="n">
        <f aca="false">CHOOSE(Asumsi!$D$5,AB73,AB136,AB199)</f>
        <v>-1301292894.35827</v>
      </c>
      <c r="AC13" s="9" t="n">
        <f aca="false">CHOOSE(Asumsi!$D$5,AC73,AC136,AC199)</f>
        <v>-1665394908.50237</v>
      </c>
      <c r="AD13" s="9" t="n">
        <f aca="false">CHOOSE(Asumsi!$D$5,AD73,AD136,AD199)</f>
        <v>-3440974050.24063</v>
      </c>
    </row>
    <row r="14" customFormat="false" ht="15" hidden="false" customHeight="false" outlineLevel="0" collapsed="false">
      <c r="A14" s="25" t="s">
        <v>664</v>
      </c>
      <c r="B14" s="2" t="s">
        <v>46</v>
      </c>
      <c r="C14" s="9" t="n">
        <f aca="false">CHOOSE(Asumsi!$D$5,C76,C139,C202)</f>
        <v>-474286247.38</v>
      </c>
      <c r="D14" s="9" t="n">
        <f aca="false">CHOOSE(Asumsi!$D$5,D76,D139,D202)</f>
        <v>-577618461.10709</v>
      </c>
      <c r="E14" s="9" t="n">
        <f aca="false">CHOOSE(Asumsi!$D$5,E76,E139,E202)</f>
        <v>-677764575.549444</v>
      </c>
      <c r="F14" s="9" t="n">
        <f aca="false">CHOOSE(Asumsi!$D$5,F76,F139,F202)</f>
        <v>-776969647.034081</v>
      </c>
      <c r="G14" s="9" t="n">
        <f aca="false">CHOOSE(Asumsi!$D$5,G76,G139,G202)</f>
        <v>-896466255.231494</v>
      </c>
      <c r="H14" s="9" t="n">
        <f aca="false">CHOOSE(Asumsi!$D$5,H76,H139,H202)</f>
        <v>-1014953121.34711</v>
      </c>
      <c r="I14" s="9" t="n">
        <f aca="false">CHOOSE(Asumsi!$D$5,I76,I139,I202)</f>
        <v>-1132390853.35487</v>
      </c>
      <c r="J14" s="9" t="n">
        <f aca="false">CHOOSE(Asumsi!$D$5,J76,J139,J202)</f>
        <v>-1248729703.65066</v>
      </c>
      <c r="K14" s="9" t="n">
        <f aca="false">CHOOSE(Asumsi!$D$5,K76,K139,K202)</f>
        <v>-1362833414.10748</v>
      </c>
      <c r="L14" s="9" t="n">
        <f aca="false">CHOOSE(Asumsi!$D$5,L76,L139,L202)</f>
        <v>-1475556736.88248</v>
      </c>
      <c r="M14" s="9" t="n">
        <f aca="false">CHOOSE(Asumsi!$D$5,M76,M139,M202)</f>
        <v>-1586819414.80258</v>
      </c>
      <c r="N14" s="9" t="n">
        <f aca="false">CHOOSE(Asumsi!$D$5,N76,N139,N202)</f>
        <v>-1696532822.54918</v>
      </c>
      <c r="O14" s="9" t="n">
        <f aca="false">CHOOSE(Asumsi!$D$5,O76,O139,O202)</f>
        <v>-1806373293.2051</v>
      </c>
      <c r="P14" s="9" t="n">
        <f aca="false">CHOOSE(Asumsi!$D$5,P76,P139,P202)</f>
        <v>-1991319148.3209</v>
      </c>
      <c r="Q14" s="9" t="n">
        <f aca="false">CHOOSE(Asumsi!$D$5,Q76,Q139,Q202)</f>
        <v>-2139398804.2203</v>
      </c>
      <c r="R14" s="9" t="n">
        <f aca="false">CHOOSE(Asumsi!$D$5,R76,R139,R202)</f>
        <v>-2285491498.55384</v>
      </c>
      <c r="S14" s="9" t="n">
        <f aca="false">CHOOSE(Asumsi!$D$5,S76,S139,S202)</f>
        <v>-2429458155.67494</v>
      </c>
      <c r="T14" s="9" t="n">
        <f aca="false">CHOOSE(Asumsi!$D$5,T76,T139,T202)</f>
        <v>-2570756065.79647</v>
      </c>
      <c r="U14" s="9" t="n">
        <f aca="false">CHOOSE(Asumsi!$D$5,U76,U139,U202)</f>
        <v>-2710036522.28806</v>
      </c>
      <c r="V14" s="9" t="n">
        <f aca="false">CHOOSE(Asumsi!$D$5,V76,V139,V202)</f>
        <v>-2847735833.27226</v>
      </c>
      <c r="W14" s="9" t="n">
        <f aca="false">CHOOSE(Asumsi!$D$5,W76,W139,W202)</f>
        <v>-2983832222.43786</v>
      </c>
      <c r="X14" s="9" t="n">
        <f aca="false">CHOOSE(Asumsi!$D$5,X76,X139,X202)</f>
        <v>-3118296202.59497</v>
      </c>
      <c r="Y14" s="9" t="n">
        <f aca="false">CHOOSE(Asumsi!$D$5,Y76,Y139,Y202)</f>
        <v>-3251090299.02482</v>
      </c>
      <c r="Z14" s="9" t="n">
        <f aca="false">CHOOSE(Asumsi!$D$5,Z76,Z139,Z202)</f>
        <v>-3382168731.30506</v>
      </c>
      <c r="AA14" s="9" t="n">
        <f aca="false">CHOOSE(Asumsi!$D$5,AA76,AA139,AA202)</f>
        <v>-3513250834.3938</v>
      </c>
      <c r="AB14" s="9" t="n">
        <f aca="false">CHOOSE(Asumsi!$D$5,AB76,AB139,AB202)</f>
        <v>-1806373293.2051</v>
      </c>
      <c r="AC14" s="9" t="n">
        <f aca="false">CHOOSE(Asumsi!$D$5,AC76,AC139,AC202)</f>
        <v>-3513250834.3938</v>
      </c>
      <c r="AD14" s="9" t="n">
        <f aca="false">CHOOSE(Asumsi!$D$5,AD76,AD139,AD202)</f>
        <v>-3513250834.3938</v>
      </c>
    </row>
    <row r="17" customFormat="false" ht="15" hidden="false" customHeight="false" outlineLevel="0" collapsed="false">
      <c r="A17" s="59" t="s">
        <v>665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 customFormat="false" ht="15" hidden="false" customHeight="false" outlineLevel="0" collapsed="false">
      <c r="A18" s="7" t="s">
        <v>666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15" hidden="false" customHeight="false" outlineLevel="0" collapsed="false">
      <c r="A19" s="4" t="s">
        <v>667</v>
      </c>
      <c r="B19" s="2" t="s">
        <v>20</v>
      </c>
      <c r="C19" s="15" t="n">
        <f aca="false">Asumsi!$D$74</f>
        <v>20</v>
      </c>
      <c r="D19" s="15" t="n">
        <f aca="false">Asumsi!$D$75*(1+Asumsi!$D$76)^(D$5-1)</f>
        <v>10</v>
      </c>
      <c r="E19" s="15" t="n">
        <f aca="false">Asumsi!$D$75*(1+Asumsi!$D$76)^(E$5-1)</f>
        <v>10.4</v>
      </c>
      <c r="F19" s="15" t="n">
        <f aca="false">Asumsi!$D$75*(1+Asumsi!$D$76)^(F$5-1)</f>
        <v>10.816</v>
      </c>
      <c r="G19" s="15" t="n">
        <f aca="false">Asumsi!$D$75*(1+Asumsi!$D$76)^(G$5-1)</f>
        <v>11.24864</v>
      </c>
      <c r="H19" s="15" t="n">
        <f aca="false">Asumsi!$D$75*(1+Asumsi!$D$76)^(H$5-1)</f>
        <v>11.6985856</v>
      </c>
      <c r="I19" s="15" t="n">
        <f aca="false">Asumsi!$D$75*(1+Asumsi!$D$76)^(I$5-1)</f>
        <v>12.166529024</v>
      </c>
      <c r="J19" s="15" t="n">
        <f aca="false">Asumsi!$D$75*(1+Asumsi!$D$76)^(J$5-1)</f>
        <v>12.65319018496</v>
      </c>
      <c r="K19" s="15" t="n">
        <f aca="false">Asumsi!$D$75*(1+Asumsi!$D$76)^(K$5-1)</f>
        <v>13.1593177923584</v>
      </c>
      <c r="L19" s="15" t="n">
        <f aca="false">Asumsi!$D$75*(1+Asumsi!$D$76)^(L$5-1)</f>
        <v>13.6856905040527</v>
      </c>
      <c r="M19" s="15" t="n">
        <f aca="false">Asumsi!$D$75*(1+Asumsi!$D$76)^(M$5-1)</f>
        <v>14.2331181242149</v>
      </c>
      <c r="N19" s="15" t="n">
        <f aca="false">Asumsi!$D$75*(1+Asumsi!$D$76)^(N$5-1)</f>
        <v>14.8024428491834</v>
      </c>
      <c r="O19" s="15" t="n">
        <f aca="false">Asumsi!$D$75*(1+Asumsi!$D$76)^(O$5-1)</f>
        <v>15.3945405631508</v>
      </c>
      <c r="P19" s="15" t="n">
        <f aca="false">Asumsi!$D$75*(1+Asumsi!$D$76)^(P$5-1)</f>
        <v>16.0103221856768</v>
      </c>
      <c r="Q19" s="15" t="n">
        <f aca="false">Asumsi!$D$75*(1+Asumsi!$D$76)^(Q$5-1)</f>
        <v>16.6507350731039</v>
      </c>
      <c r="R19" s="15" t="n">
        <f aca="false">Asumsi!$D$75*(1+Asumsi!$D$76)^(R$5-1)</f>
        <v>17.316764476028</v>
      </c>
      <c r="S19" s="15" t="n">
        <f aca="false">Asumsi!$D$75*(1+Asumsi!$D$76)^(S$5-1)</f>
        <v>18.0094350550692</v>
      </c>
      <c r="T19" s="15" t="n">
        <f aca="false">Asumsi!$D$75*(1+Asumsi!$D$76)^(T$5-1)</f>
        <v>18.7298124572719</v>
      </c>
      <c r="U19" s="15" t="n">
        <f aca="false">Asumsi!$D$75*(1+Asumsi!$D$76)^(U$5-1)</f>
        <v>19.4790049555628</v>
      </c>
      <c r="V19" s="15" t="n">
        <f aca="false">Asumsi!$D$75*(1+Asumsi!$D$76)^(V$5-1)</f>
        <v>20.2581651537853</v>
      </c>
      <c r="W19" s="15" t="n">
        <f aca="false">Asumsi!$D$75*(1+Asumsi!$D$76)^(W$5-1)</f>
        <v>21.0684917599367</v>
      </c>
      <c r="X19" s="15" t="n">
        <f aca="false">Asumsi!$D$75*(1+Asumsi!$D$76)^(X$5-1)</f>
        <v>21.9112314303342</v>
      </c>
      <c r="Y19" s="15" t="n">
        <f aca="false">Asumsi!$D$75*(1+Asumsi!$D$76)^(Y$5-1)</f>
        <v>22.7876806875476</v>
      </c>
      <c r="Z19" s="15" t="n">
        <f aca="false">Asumsi!$D$75*(1+Asumsi!$D$76)^(Z$5-1)</f>
        <v>23.6991879150495</v>
      </c>
      <c r="AA19" s="15" t="n">
        <f aca="false">Asumsi!$D$75*(1+Asumsi!$D$76)^(AA$5-1)</f>
        <v>24.6471554316515</v>
      </c>
      <c r="AB19" s="63" t="n">
        <f aca="false">SUM(D19:O19)</f>
        <v>150.25805464192</v>
      </c>
      <c r="AC19" s="63" t="n">
        <f aca="false">SUM(P19:AA19)</f>
        <v>240.567986581017</v>
      </c>
      <c r="AD19" s="63" t="n">
        <f aca="false">SUM(C19:AA19)</f>
        <v>410.826041222938</v>
      </c>
    </row>
    <row r="20" customFormat="false" ht="15" hidden="false" customHeight="false" outlineLevel="0" collapsed="false">
      <c r="A20" s="4" t="s">
        <v>668</v>
      </c>
      <c r="B20" s="2" t="s">
        <v>20</v>
      </c>
      <c r="C20" s="49" t="n">
        <f aca="false">C19</f>
        <v>20</v>
      </c>
      <c r="D20" s="15" t="n">
        <f aca="false">C20*(1-Asumsi!$D$77)+D19</f>
        <v>29</v>
      </c>
      <c r="E20" s="15" t="n">
        <f aca="false">D20*(1-Asumsi!$D$77)+E19</f>
        <v>37.95</v>
      </c>
      <c r="F20" s="15" t="n">
        <f aca="false">E20*(1-Asumsi!$D$77)+F19</f>
        <v>46.8685</v>
      </c>
      <c r="G20" s="15" t="n">
        <f aca="false">F20*(1-Asumsi!$D$77)+G19</f>
        <v>55.773715</v>
      </c>
      <c r="H20" s="15" t="n">
        <f aca="false">G20*(1-Asumsi!$D$77)+H19</f>
        <v>64.68361485</v>
      </c>
      <c r="I20" s="15" t="n">
        <f aca="false">H20*(1-Asumsi!$D$77)+I19</f>
        <v>73.6159631315</v>
      </c>
      <c r="J20" s="15" t="n">
        <f aca="false">I20*(1-Asumsi!$D$77)+J19</f>
        <v>82.588355159885</v>
      </c>
      <c r="K20" s="15" t="n">
        <f aca="false">J20*(1-Asumsi!$D$77)+K19</f>
        <v>91.6182551942492</v>
      </c>
      <c r="L20" s="15" t="n">
        <f aca="false">K20*(1-Asumsi!$D$77)+L19</f>
        <v>100.723032938589</v>
      </c>
      <c r="M20" s="15" t="n">
        <f aca="false">L20*(1-Asumsi!$D$77)+M19</f>
        <v>109.919999415875</v>
      </c>
      <c r="N20" s="15" t="n">
        <f aca="false">M20*(1-Asumsi!$D$77)+N19</f>
        <v>119.226442294265</v>
      </c>
      <c r="O20" s="15" t="n">
        <f aca="false">N20*(1-Asumsi!$D$77)+O19</f>
        <v>128.659660742702</v>
      </c>
      <c r="P20" s="15" t="n">
        <f aca="false">O20*(1-Asumsi!$D$77)+P19</f>
        <v>138.236999891244</v>
      </c>
      <c r="Q20" s="15" t="n">
        <f aca="false">P20*(1-Asumsi!$D$77)+Q19</f>
        <v>147.975884969785</v>
      </c>
      <c r="R20" s="15" t="n">
        <f aca="false">Q20*(1-Asumsi!$D$77)+R19</f>
        <v>157.893855197324</v>
      </c>
      <c r="S20" s="15" t="n">
        <f aca="false">R20*(1-Asumsi!$D$77)+S19</f>
        <v>168.008597492527</v>
      </c>
      <c r="T20" s="15" t="n">
        <f aca="false">S20*(1-Asumsi!$D$77)+T19</f>
        <v>178.337980075173</v>
      </c>
      <c r="U20" s="15" t="n">
        <f aca="false">T20*(1-Asumsi!$D$77)+U19</f>
        <v>188.900086026977</v>
      </c>
      <c r="V20" s="15" t="n">
        <f aca="false">U20*(1-Asumsi!$D$77)+V19</f>
        <v>199.713246879413</v>
      </c>
      <c r="W20" s="15" t="n">
        <f aca="false">V20*(1-Asumsi!$D$77)+W19</f>
        <v>210.796076295379</v>
      </c>
      <c r="X20" s="15" t="n">
        <f aca="false">W20*(1-Asumsi!$D$77)+X19</f>
        <v>222.167503910945</v>
      </c>
      <c r="Y20" s="15" t="n">
        <f aca="false">X20*(1-Asumsi!$D$77)+Y19</f>
        <v>233.846809402945</v>
      </c>
      <c r="Z20" s="15" t="n">
        <f aca="false">Y20*(1-Asumsi!$D$77)+Z19</f>
        <v>245.853656847847</v>
      </c>
      <c r="AA20" s="15" t="n">
        <f aca="false">Z20*(1-Asumsi!$D$77)+AA19</f>
        <v>258.208129437106</v>
      </c>
      <c r="AB20" s="63" t="n">
        <f aca="false">O20</f>
        <v>128.659660742702</v>
      </c>
      <c r="AC20" s="63" t="n">
        <f aca="false">AA20</f>
        <v>258.208129437106</v>
      </c>
      <c r="AD20" s="63" t="n">
        <f aca="false">AA20</f>
        <v>258.208129437106</v>
      </c>
    </row>
    <row r="21" customFormat="false" ht="15" hidden="false" customHeight="false" outlineLevel="0" collapsed="false">
      <c r="A21" s="4" t="s">
        <v>669</v>
      </c>
      <c r="B21" s="2" t="s">
        <v>20</v>
      </c>
      <c r="D21" s="15" t="n">
        <f aca="false">D20*Asumsi!$D$78</f>
        <v>8.7</v>
      </c>
      <c r="E21" s="15" t="n">
        <f aca="false">E20*Asumsi!$D$78</f>
        <v>11.385</v>
      </c>
      <c r="F21" s="15" t="n">
        <f aca="false">F20*Asumsi!$D$78</f>
        <v>14.06055</v>
      </c>
      <c r="G21" s="15" t="n">
        <f aca="false">G20*Asumsi!$D$78</f>
        <v>16.7321145</v>
      </c>
      <c r="H21" s="15" t="n">
        <f aca="false">H20*Asumsi!$D$78</f>
        <v>19.405084455</v>
      </c>
      <c r="I21" s="15" t="n">
        <f aca="false">I20*Asumsi!$D$78</f>
        <v>22.08478893945</v>
      </c>
      <c r="J21" s="15" t="n">
        <f aca="false">J20*Asumsi!$D$78</f>
        <v>24.7765065479655</v>
      </c>
      <c r="K21" s="15" t="n">
        <f aca="false">K20*Asumsi!$D$78</f>
        <v>27.4854765582747</v>
      </c>
      <c r="L21" s="15" t="n">
        <f aca="false">L20*Asumsi!$D$78</f>
        <v>30.2169098815768</v>
      </c>
      <c r="M21" s="15" t="n">
        <f aca="false">M20*Asumsi!$D$78</f>
        <v>32.9759998247624</v>
      </c>
      <c r="N21" s="15" t="n">
        <f aca="false">N20*Asumsi!$D$78</f>
        <v>35.7679326882794</v>
      </c>
      <c r="O21" s="15" t="n">
        <f aca="false">O20*Asumsi!$D$78</f>
        <v>38.5978982228106</v>
      </c>
      <c r="P21" s="15" t="n">
        <f aca="false">P20*Asumsi!$D$78</f>
        <v>41.4710999673731</v>
      </c>
      <c r="Q21" s="15" t="n">
        <f aca="false">Q20*Asumsi!$D$78</f>
        <v>44.3927654909356</v>
      </c>
      <c r="R21" s="15" t="n">
        <f aca="false">R20*Asumsi!$D$78</f>
        <v>47.3681565591973</v>
      </c>
      <c r="S21" s="15" t="n">
        <f aca="false">S20*Asumsi!$D$78</f>
        <v>50.4025792477582</v>
      </c>
      <c r="T21" s="15" t="n">
        <f aca="false">T20*Asumsi!$D$78</f>
        <v>53.5013940225518</v>
      </c>
      <c r="U21" s="15" t="n">
        <f aca="false">U20*Asumsi!$D$78</f>
        <v>56.6700258080931</v>
      </c>
      <c r="V21" s="15" t="n">
        <f aca="false">V20*Asumsi!$D$78</f>
        <v>59.913974063824</v>
      </c>
      <c r="W21" s="15" t="n">
        <f aca="false">W20*Asumsi!$D$78</f>
        <v>63.2388228886138</v>
      </c>
      <c r="X21" s="15" t="n">
        <f aca="false">X20*Asumsi!$D$78</f>
        <v>66.6502511732834</v>
      </c>
      <c r="Y21" s="15" t="n">
        <f aca="false">Y20*Asumsi!$D$78</f>
        <v>70.1540428208835</v>
      </c>
      <c r="Z21" s="15" t="n">
        <f aca="false">Z20*Asumsi!$D$78</f>
        <v>73.7560970543541</v>
      </c>
      <c r="AA21" s="15" t="n">
        <f aca="false">AA20*Asumsi!$D$78</f>
        <v>77.4624388311319</v>
      </c>
      <c r="AB21" s="63" t="n">
        <f aca="false">O21</f>
        <v>38.5978982228106</v>
      </c>
      <c r="AC21" s="63" t="n">
        <f aca="false">AA21</f>
        <v>77.4624388311319</v>
      </c>
      <c r="AD21" s="63" t="n">
        <f aca="false">AA21</f>
        <v>77.4624388311319</v>
      </c>
    </row>
    <row r="22" customFormat="false" ht="15" hidden="false" customHeight="false" outlineLevel="0" collapsed="false">
      <c r="A22" s="4" t="s">
        <v>670</v>
      </c>
      <c r="B22" s="2" t="s">
        <v>310</v>
      </c>
      <c r="D22" s="9" t="n">
        <f aca="false">D21*Asumsi!$D$79</f>
        <v>21.75</v>
      </c>
      <c r="E22" s="9" t="n">
        <f aca="false">E21*Asumsi!$D$79</f>
        <v>28.4625</v>
      </c>
      <c r="F22" s="9" t="n">
        <f aca="false">F21*Asumsi!$D$79</f>
        <v>35.151375</v>
      </c>
      <c r="G22" s="9" t="n">
        <f aca="false">G21*Asumsi!$D$79</f>
        <v>41.83028625</v>
      </c>
      <c r="H22" s="9" t="n">
        <f aca="false">H21*Asumsi!$D$79</f>
        <v>48.5127111375</v>
      </c>
      <c r="I22" s="9" t="n">
        <f aca="false">I21*Asumsi!$D$79</f>
        <v>55.211972348625</v>
      </c>
      <c r="J22" s="9" t="n">
        <f aca="false">J21*Asumsi!$D$79</f>
        <v>61.9412663699138</v>
      </c>
      <c r="K22" s="9" t="n">
        <f aca="false">K21*Asumsi!$D$79</f>
        <v>68.7136913956869</v>
      </c>
      <c r="L22" s="9" t="n">
        <f aca="false">L21*Asumsi!$D$79</f>
        <v>75.5422747039421</v>
      </c>
      <c r="M22" s="9" t="n">
        <f aca="false">M21*Asumsi!$D$79</f>
        <v>82.4399995619061</v>
      </c>
      <c r="N22" s="9" t="n">
        <f aca="false">N21*Asumsi!$D$79</f>
        <v>89.4198317206984</v>
      </c>
      <c r="O22" s="9" t="n">
        <f aca="false">O21*Asumsi!$D$79</f>
        <v>96.4947455570265</v>
      </c>
      <c r="P22" s="9" t="n">
        <f aca="false">P21*Asumsi!$D$79</f>
        <v>103.677749918433</v>
      </c>
      <c r="Q22" s="9" t="n">
        <f aca="false">Q21*Asumsi!$D$79</f>
        <v>110.981913727339</v>
      </c>
      <c r="R22" s="9" t="n">
        <f aca="false">R21*Asumsi!$D$79</f>
        <v>118.420391397993</v>
      </c>
      <c r="S22" s="9" t="n">
        <f aca="false">S21*Asumsi!$D$79</f>
        <v>126.006448119395</v>
      </c>
      <c r="T22" s="9" t="n">
        <f aca="false">T21*Asumsi!$D$79</f>
        <v>133.75348505638</v>
      </c>
      <c r="U22" s="9" t="n">
        <f aca="false">U21*Asumsi!$D$79</f>
        <v>141.675064520233</v>
      </c>
      <c r="V22" s="9" t="n">
        <f aca="false">V21*Asumsi!$D$79</f>
        <v>149.78493515956</v>
      </c>
      <c r="W22" s="9" t="n">
        <f aca="false">W21*Asumsi!$D$79</f>
        <v>158.097057221535</v>
      </c>
      <c r="X22" s="9" t="n">
        <f aca="false">X21*Asumsi!$D$79</f>
        <v>166.625627933208</v>
      </c>
      <c r="Y22" s="9" t="n">
        <f aca="false">Y21*Asumsi!$D$79</f>
        <v>175.385107052209</v>
      </c>
      <c r="Z22" s="9" t="n">
        <f aca="false">Z21*Asumsi!$D$79</f>
        <v>184.390242635885</v>
      </c>
      <c r="AA22" s="9" t="n">
        <f aca="false">AA21*Asumsi!$D$79</f>
        <v>193.65609707783</v>
      </c>
      <c r="AB22" s="64" t="n">
        <f aca="false">SUM(D22:O22)</f>
        <v>705.470654045299</v>
      </c>
      <c r="AC22" s="64" t="n">
        <f aca="false">SUM(P22:AA22)</f>
        <v>1762.45411982</v>
      </c>
      <c r="AD22" s="64" t="n">
        <f aca="false">SUM(C22:AA22)</f>
        <v>2467.9247738653</v>
      </c>
    </row>
    <row r="23" customFormat="false" ht="15" hidden="false" customHeight="false" outlineLevel="0" collapsed="false">
      <c r="A23" s="7" t="s">
        <v>671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15" hidden="false" customHeight="false" outlineLevel="0" collapsed="false">
      <c r="A24" s="4" t="s">
        <v>672</v>
      </c>
      <c r="B24" s="2" t="s">
        <v>20</v>
      </c>
      <c r="D24" s="15" t="n">
        <f aca="false">Asumsi!$D$82*(1+Asumsi!$D$83)^(D$5-1)</f>
        <v>20</v>
      </c>
      <c r="E24" s="15" t="n">
        <f aca="false">Asumsi!$D$82*(1+Asumsi!$D$83)^(E$5-1)</f>
        <v>21</v>
      </c>
      <c r="F24" s="15" t="n">
        <f aca="false">Asumsi!$D$82*(1+Asumsi!$D$83)^(F$5-1)</f>
        <v>22.05</v>
      </c>
      <c r="G24" s="15" t="n">
        <f aca="false">Asumsi!$D$82*(1+Asumsi!$D$83)^(G$5-1)</f>
        <v>23.1525</v>
      </c>
      <c r="H24" s="15" t="n">
        <f aca="false">Asumsi!$D$82*(1+Asumsi!$D$83)^(H$5-1)</f>
        <v>24.310125</v>
      </c>
      <c r="I24" s="15" t="n">
        <f aca="false">Asumsi!$D$82*(1+Asumsi!$D$83)^(I$5-1)</f>
        <v>25.52563125</v>
      </c>
      <c r="J24" s="15" t="n">
        <f aca="false">Asumsi!$D$82*(1+Asumsi!$D$83)^(J$5-1)</f>
        <v>26.8019128125</v>
      </c>
      <c r="K24" s="15" t="n">
        <f aca="false">Asumsi!$D$82*(1+Asumsi!$D$83)^(K$5-1)</f>
        <v>28.142008453125</v>
      </c>
      <c r="L24" s="15" t="n">
        <f aca="false">Asumsi!$D$82*(1+Asumsi!$D$83)^(L$5-1)</f>
        <v>29.5491088757813</v>
      </c>
      <c r="M24" s="15" t="n">
        <f aca="false">Asumsi!$D$82*(1+Asumsi!$D$83)^(M$5-1)</f>
        <v>31.0265643195703</v>
      </c>
      <c r="N24" s="15" t="n">
        <f aca="false">Asumsi!$D$82*(1+Asumsi!$D$83)^(N$5-1)</f>
        <v>32.5778925355488</v>
      </c>
      <c r="O24" s="15" t="n">
        <f aca="false">Asumsi!$D$82*(1+Asumsi!$D$83)^(O$5-1)</f>
        <v>34.2067871623263</v>
      </c>
      <c r="P24" s="15" t="n">
        <f aca="false">Asumsi!$D$82*(1+Asumsi!$D$83)^(P$5-1)</f>
        <v>35.9171265204426</v>
      </c>
      <c r="Q24" s="15" t="n">
        <f aca="false">Asumsi!$D$82*(1+Asumsi!$D$83)^(Q$5-1)</f>
        <v>37.7129828464647</v>
      </c>
      <c r="R24" s="15" t="n">
        <f aca="false">Asumsi!$D$82*(1+Asumsi!$D$83)^(R$5-1)</f>
        <v>39.598631988788</v>
      </c>
      <c r="S24" s="15" t="n">
        <f aca="false">Asumsi!$D$82*(1+Asumsi!$D$83)^(S$5-1)</f>
        <v>41.5785635882274</v>
      </c>
      <c r="T24" s="15" t="n">
        <f aca="false">Asumsi!$D$82*(1+Asumsi!$D$83)^(T$5-1)</f>
        <v>43.6574917676387</v>
      </c>
      <c r="U24" s="15" t="n">
        <f aca="false">Asumsi!$D$82*(1+Asumsi!$D$83)^(U$5-1)</f>
        <v>45.8403663560207</v>
      </c>
      <c r="V24" s="15" t="n">
        <f aca="false">Asumsi!$D$82*(1+Asumsi!$D$83)^(V$5-1)</f>
        <v>48.1323846738217</v>
      </c>
      <c r="W24" s="15" t="n">
        <f aca="false">Asumsi!$D$82*(1+Asumsi!$D$83)^(W$5-1)</f>
        <v>50.5390039075128</v>
      </c>
      <c r="X24" s="15" t="n">
        <f aca="false">Asumsi!$D$82*(1+Asumsi!$D$83)^(X$5-1)</f>
        <v>53.0659541028884</v>
      </c>
      <c r="Y24" s="15" t="n">
        <f aca="false">Asumsi!$D$82*(1+Asumsi!$D$83)^(Y$5-1)</f>
        <v>55.7192518080329</v>
      </c>
      <c r="Z24" s="15" t="n">
        <f aca="false">Asumsi!$D$82*(1+Asumsi!$D$83)^(Z$5-1)</f>
        <v>58.5052143984345</v>
      </c>
      <c r="AA24" s="15" t="n">
        <f aca="false">Asumsi!$D$82*(1+Asumsi!$D$83)^(AA$5-1)</f>
        <v>61.4304751183563</v>
      </c>
      <c r="AB24" s="63" t="n">
        <f aca="false">SUM(D24:O24)</f>
        <v>318.342530408852</v>
      </c>
      <c r="AC24" s="63" t="n">
        <f aca="false">SUM(P24:AA24)</f>
        <v>571.697447076629</v>
      </c>
      <c r="AD24" s="63" t="n">
        <f aca="false">SUM(C24:AA24)</f>
        <v>890.03997748548</v>
      </c>
    </row>
    <row r="25" customFormat="false" ht="15" hidden="false" customHeight="false" outlineLevel="0" collapsed="false">
      <c r="A25" s="4" t="s">
        <v>673</v>
      </c>
      <c r="B25" s="2" t="s">
        <v>46</v>
      </c>
      <c r="D25" s="9" t="n">
        <f aca="false">IF(D$5&lt;=3,Asumsi!$D$84,IF(D$5&lt;=12,Asumsi!$D$85,Asumsi!$D$86))</f>
        <v>5000000</v>
      </c>
      <c r="E25" s="9" t="n">
        <f aca="false">IF(E$5&lt;=3,Asumsi!$D$84,IF(E$5&lt;=12,Asumsi!$D$85,Asumsi!$D$86))</f>
        <v>5000000</v>
      </c>
      <c r="F25" s="9" t="n">
        <f aca="false">IF(F$5&lt;=3,Asumsi!$D$84,IF(F$5&lt;=12,Asumsi!$D$85,Asumsi!$D$86))</f>
        <v>5000000</v>
      </c>
      <c r="G25" s="9" t="n">
        <f aca="false">IF(G$5&lt;=3,Asumsi!$D$84,IF(G$5&lt;=12,Asumsi!$D$85,Asumsi!$D$86))</f>
        <v>25000000</v>
      </c>
      <c r="H25" s="9" t="n">
        <f aca="false">IF(H$5&lt;=3,Asumsi!$D$84,IF(H$5&lt;=12,Asumsi!$D$85,Asumsi!$D$86))</f>
        <v>25000000</v>
      </c>
      <c r="I25" s="9" t="n">
        <f aca="false">IF(I$5&lt;=3,Asumsi!$D$84,IF(I$5&lt;=12,Asumsi!$D$85,Asumsi!$D$86))</f>
        <v>25000000</v>
      </c>
      <c r="J25" s="9" t="n">
        <f aca="false">IF(J$5&lt;=3,Asumsi!$D$84,IF(J$5&lt;=12,Asumsi!$D$85,Asumsi!$D$86))</f>
        <v>25000000</v>
      </c>
      <c r="K25" s="9" t="n">
        <f aca="false">IF(K$5&lt;=3,Asumsi!$D$84,IF(K$5&lt;=12,Asumsi!$D$85,Asumsi!$D$86))</f>
        <v>25000000</v>
      </c>
      <c r="L25" s="9" t="n">
        <f aca="false">IF(L$5&lt;=3,Asumsi!$D$84,IF(L$5&lt;=12,Asumsi!$D$85,Asumsi!$D$86))</f>
        <v>25000000</v>
      </c>
      <c r="M25" s="9" t="n">
        <f aca="false">IF(M$5&lt;=3,Asumsi!$D$84,IF(M$5&lt;=12,Asumsi!$D$85,Asumsi!$D$86))</f>
        <v>25000000</v>
      </c>
      <c r="N25" s="9" t="n">
        <f aca="false">IF(N$5&lt;=3,Asumsi!$D$84,IF(N$5&lt;=12,Asumsi!$D$85,Asumsi!$D$86))</f>
        <v>25000000</v>
      </c>
      <c r="O25" s="9" t="n">
        <f aca="false">IF(O$5&lt;=3,Asumsi!$D$84,IF(O$5&lt;=12,Asumsi!$D$85,Asumsi!$D$86))</f>
        <v>25000000</v>
      </c>
      <c r="P25" s="9" t="n">
        <f aca="false">IF(P$5&lt;=3,Asumsi!$D$84,IF(P$5&lt;=12,Asumsi!$D$85,Asumsi!$D$86))</f>
        <v>35000000</v>
      </c>
      <c r="Q25" s="9" t="n">
        <f aca="false">IF(Q$5&lt;=3,Asumsi!$D$84,IF(Q$5&lt;=12,Asumsi!$D$85,Asumsi!$D$86))</f>
        <v>35000000</v>
      </c>
      <c r="R25" s="9" t="n">
        <f aca="false">IF(R$5&lt;=3,Asumsi!$D$84,IF(R$5&lt;=12,Asumsi!$D$85,Asumsi!$D$86))</f>
        <v>35000000</v>
      </c>
      <c r="S25" s="9" t="n">
        <f aca="false">IF(S$5&lt;=3,Asumsi!$D$84,IF(S$5&lt;=12,Asumsi!$D$85,Asumsi!$D$86))</f>
        <v>35000000</v>
      </c>
      <c r="T25" s="9" t="n">
        <f aca="false">IF(T$5&lt;=3,Asumsi!$D$84,IF(T$5&lt;=12,Asumsi!$D$85,Asumsi!$D$86))</f>
        <v>35000000</v>
      </c>
      <c r="U25" s="9" t="n">
        <f aca="false">IF(U$5&lt;=3,Asumsi!$D$84,IF(U$5&lt;=12,Asumsi!$D$85,Asumsi!$D$86))</f>
        <v>35000000</v>
      </c>
      <c r="V25" s="9" t="n">
        <f aca="false">IF(V$5&lt;=3,Asumsi!$D$84,IF(V$5&lt;=12,Asumsi!$D$85,Asumsi!$D$86))</f>
        <v>35000000</v>
      </c>
      <c r="W25" s="9" t="n">
        <f aca="false">IF(W$5&lt;=3,Asumsi!$D$84,IF(W$5&lt;=12,Asumsi!$D$85,Asumsi!$D$86))</f>
        <v>35000000</v>
      </c>
      <c r="X25" s="9" t="n">
        <f aca="false">IF(X$5&lt;=3,Asumsi!$D$84,IF(X$5&lt;=12,Asumsi!$D$85,Asumsi!$D$86))</f>
        <v>35000000</v>
      </c>
      <c r="Y25" s="9" t="n">
        <f aca="false">IF(Y$5&lt;=3,Asumsi!$D$84,IF(Y$5&lt;=12,Asumsi!$D$85,Asumsi!$D$86))</f>
        <v>35000000</v>
      </c>
      <c r="Z25" s="9" t="n">
        <f aca="false">IF(Z$5&lt;=3,Asumsi!$D$84,IF(Z$5&lt;=12,Asumsi!$D$85,Asumsi!$D$86))</f>
        <v>35000000</v>
      </c>
      <c r="AA25" s="9" t="n">
        <f aca="false">IF(AA$5&lt;=3,Asumsi!$D$84,IF(AA$5&lt;=12,Asumsi!$D$85,Asumsi!$D$86))</f>
        <v>35000000</v>
      </c>
      <c r="AB25" s="64" t="n">
        <f aca="false">SUM(D25:O25)</f>
        <v>240000000</v>
      </c>
      <c r="AC25" s="64" t="n">
        <f aca="false">SUM(P25:AA25)</f>
        <v>420000000</v>
      </c>
      <c r="AD25" s="64" t="n">
        <f aca="false">SUM(C25:AA25)</f>
        <v>660000000</v>
      </c>
    </row>
    <row r="26" customFormat="false" ht="15" hidden="false" customHeight="false" outlineLevel="0" collapsed="false">
      <c r="A26" s="4" t="s">
        <v>674</v>
      </c>
      <c r="B26" s="2" t="s">
        <v>20</v>
      </c>
      <c r="D26" s="15" t="n">
        <f aca="false">IF(Asumsi!$D$87&gt;0,D25/Asumsi!$D$87,0)</f>
        <v>14.2857142857143</v>
      </c>
      <c r="E26" s="15" t="n">
        <f aca="false">IF(Asumsi!$D$87&gt;0,E25/Asumsi!$D$87,0)</f>
        <v>14.2857142857143</v>
      </c>
      <c r="F26" s="15" t="n">
        <f aca="false">IF(Asumsi!$D$87&gt;0,F25/Asumsi!$D$87,0)</f>
        <v>14.2857142857143</v>
      </c>
      <c r="G26" s="15" t="n">
        <f aca="false">IF(Asumsi!$D$87&gt;0,G25/Asumsi!$D$87,0)</f>
        <v>71.4285714285714</v>
      </c>
      <c r="H26" s="15" t="n">
        <f aca="false">IF(Asumsi!$D$87&gt;0,H25/Asumsi!$D$87,0)</f>
        <v>71.4285714285714</v>
      </c>
      <c r="I26" s="15" t="n">
        <f aca="false">IF(Asumsi!$D$87&gt;0,I25/Asumsi!$D$87,0)</f>
        <v>71.4285714285714</v>
      </c>
      <c r="J26" s="15" t="n">
        <f aca="false">IF(Asumsi!$D$87&gt;0,J25/Asumsi!$D$87,0)</f>
        <v>71.4285714285714</v>
      </c>
      <c r="K26" s="15" t="n">
        <f aca="false">IF(Asumsi!$D$87&gt;0,K25/Asumsi!$D$87,0)</f>
        <v>71.4285714285714</v>
      </c>
      <c r="L26" s="15" t="n">
        <f aca="false">IF(Asumsi!$D$87&gt;0,L25/Asumsi!$D$87,0)</f>
        <v>71.4285714285714</v>
      </c>
      <c r="M26" s="15" t="n">
        <f aca="false">IF(Asumsi!$D$87&gt;0,M25/Asumsi!$D$87,0)</f>
        <v>71.4285714285714</v>
      </c>
      <c r="N26" s="15" t="n">
        <f aca="false">IF(Asumsi!$D$87&gt;0,N25/Asumsi!$D$87,0)</f>
        <v>71.4285714285714</v>
      </c>
      <c r="O26" s="15" t="n">
        <f aca="false">IF(Asumsi!$D$87&gt;0,O25/Asumsi!$D$87,0)</f>
        <v>71.4285714285714</v>
      </c>
      <c r="P26" s="15" t="n">
        <f aca="false">IF(Asumsi!$D$87&gt;0,P25/Asumsi!$D$87,0)</f>
        <v>100</v>
      </c>
      <c r="Q26" s="15" t="n">
        <f aca="false">IF(Asumsi!$D$87&gt;0,Q25/Asumsi!$D$87,0)</f>
        <v>100</v>
      </c>
      <c r="R26" s="15" t="n">
        <f aca="false">IF(Asumsi!$D$87&gt;0,R25/Asumsi!$D$87,0)</f>
        <v>100</v>
      </c>
      <c r="S26" s="15" t="n">
        <f aca="false">IF(Asumsi!$D$87&gt;0,S25/Asumsi!$D$87,0)</f>
        <v>100</v>
      </c>
      <c r="T26" s="15" t="n">
        <f aca="false">IF(Asumsi!$D$87&gt;0,T25/Asumsi!$D$87,0)</f>
        <v>100</v>
      </c>
      <c r="U26" s="15" t="n">
        <f aca="false">IF(Asumsi!$D$87&gt;0,U25/Asumsi!$D$87,0)</f>
        <v>100</v>
      </c>
      <c r="V26" s="15" t="n">
        <f aca="false">IF(Asumsi!$D$87&gt;0,V25/Asumsi!$D$87,0)</f>
        <v>100</v>
      </c>
      <c r="W26" s="15" t="n">
        <f aca="false">IF(Asumsi!$D$87&gt;0,W25/Asumsi!$D$87,0)</f>
        <v>100</v>
      </c>
      <c r="X26" s="15" t="n">
        <f aca="false">IF(Asumsi!$D$87&gt;0,X25/Asumsi!$D$87,0)</f>
        <v>100</v>
      </c>
      <c r="Y26" s="15" t="n">
        <f aca="false">IF(Asumsi!$D$87&gt;0,Y25/Asumsi!$D$87,0)</f>
        <v>100</v>
      </c>
      <c r="Z26" s="15" t="n">
        <f aca="false">IF(Asumsi!$D$87&gt;0,Z25/Asumsi!$D$87,0)</f>
        <v>100</v>
      </c>
      <c r="AA26" s="15" t="n">
        <f aca="false">IF(Asumsi!$D$87&gt;0,AA25/Asumsi!$D$87,0)</f>
        <v>100</v>
      </c>
      <c r="AB26" s="63" t="n">
        <f aca="false">SUM(D26:O26)</f>
        <v>685.714285714286</v>
      </c>
      <c r="AC26" s="63" t="n">
        <f aca="false">SUM(P26:AA26)</f>
        <v>1200</v>
      </c>
      <c r="AD26" s="63" t="n">
        <f aca="false">SUM(C26:AA26)</f>
        <v>1885.71428571429</v>
      </c>
    </row>
    <row r="27" customFormat="false" ht="15" hidden="false" customHeight="false" outlineLevel="0" collapsed="false">
      <c r="A27" s="4" t="s">
        <v>675</v>
      </c>
      <c r="B27" s="2" t="s">
        <v>20</v>
      </c>
      <c r="D27" s="15" t="n">
        <f aca="false">C36*(1-Asumsi!$D$88)</f>
        <v>45</v>
      </c>
      <c r="E27" s="15" t="n">
        <f aca="false">D36*(1-Asumsi!$D$88)</f>
        <v>58.2474923589886</v>
      </c>
      <c r="F27" s="15" t="n">
        <f aca="false">E36*(1-Asumsi!$D$88)</f>
        <v>75.1147194997645</v>
      </c>
      <c r="G27" s="15" t="n">
        <f aca="false">F36*(1-Asumsi!$D$88)</f>
        <v>94.8663376800442</v>
      </c>
      <c r="H27" s="15" t="n">
        <f aca="false">G36*(1-Asumsi!$D$88)</f>
        <v>120.268902921023</v>
      </c>
      <c r="I27" s="15" t="n">
        <f aca="false">H36*(1-Asumsi!$D$88)</f>
        <v>147.98340366356</v>
      </c>
      <c r="J27" s="15" t="n">
        <f aca="false">I36*(1-Asumsi!$D$88)</f>
        <v>177.576686200837</v>
      </c>
      <c r="K27" s="15" t="n">
        <f aca="false">J36*(1-Asumsi!$D$88)</f>
        <v>208.685622706445</v>
      </c>
      <c r="L27" s="15" t="n">
        <f aca="false">K36*(1-Asumsi!$D$88)</f>
        <v>241.012101751542</v>
      </c>
      <c r="M27" s="15" t="n">
        <f aca="false">L36*(1-Asumsi!$D$88)</f>
        <v>274.316595687673</v>
      </c>
      <c r="N27" s="15" t="n">
        <f aca="false">M36*(1-Asumsi!$D$88)</f>
        <v>308.411186420933</v>
      </c>
      <c r="O27" s="15" t="n">
        <f aca="false">N36*(1-Asumsi!$D$88)</f>
        <v>343.152648669337</v>
      </c>
      <c r="P27" s="15" t="n">
        <f aca="false">O36*(1-Asumsi!$D$88)</f>
        <v>378.435957568445</v>
      </c>
      <c r="Q27" s="15" t="n">
        <f aca="false">P36*(1-Asumsi!$D$88)</f>
        <v>417.465658239354</v>
      </c>
      <c r="R27" s="15" t="n">
        <f aca="false">Q36*(1-Asumsi!$D$88)</f>
        <v>456.795800318261</v>
      </c>
      <c r="S27" s="15" t="n">
        <f aca="false">R36*(1-Asumsi!$D$88)</f>
        <v>496.411041183803</v>
      </c>
      <c r="T27" s="15" t="n">
        <f aca="false">S36*(1-Asumsi!$D$88)</f>
        <v>536.313663429022</v>
      </c>
      <c r="U27" s="15" t="n">
        <f aca="false">T36*(1-Asumsi!$D$88)</f>
        <v>576.520651091684</v>
      </c>
      <c r="V27" s="15" t="n">
        <f aca="false">U36*(1-Asumsi!$D$88)</f>
        <v>617.06123319013</v>
      </c>
      <c r="W27" s="15" t="n">
        <f aca="false">V36*(1-Asumsi!$D$88)</f>
        <v>657.974836769776</v>
      </c>
      <c r="X27" s="15" t="n">
        <f aca="false">W36*(1-Asumsi!$D$88)</f>
        <v>699.309394537604</v>
      </c>
      <c r="Y27" s="15" t="n">
        <f aca="false">X36*(1-Asumsi!$D$88)</f>
        <v>741.119956780008</v>
      </c>
      <c r="Z27" s="15" t="n">
        <f aca="false">Y36*(1-Asumsi!$D$88)</f>
        <v>783.467562616229</v>
      </c>
      <c r="AA27" s="15" t="n">
        <f aca="false">Z36*(1-Asumsi!$D$88)</f>
        <v>826.418331119477</v>
      </c>
    </row>
    <row r="28" customFormat="false" ht="15" hidden="false" customHeight="false" outlineLevel="0" collapsed="false">
      <c r="A28" s="4" t="s">
        <v>676</v>
      </c>
      <c r="B28" s="2" t="s">
        <v>20</v>
      </c>
      <c r="D28" s="15" t="n">
        <f aca="false">D27*Asumsi!$D$95</f>
        <v>0.675</v>
      </c>
      <c r="E28" s="15" t="n">
        <f aca="false">E27*Asumsi!$D$95</f>
        <v>0.873712385384829</v>
      </c>
      <c r="F28" s="15" t="n">
        <f aca="false">F27*Asumsi!$D$95</f>
        <v>1.12672079249647</v>
      </c>
      <c r="G28" s="15" t="n">
        <f aca="false">G27*Asumsi!$D$95</f>
        <v>1.42299506520066</v>
      </c>
      <c r="H28" s="15" t="n">
        <f aca="false">H27*Asumsi!$D$95</f>
        <v>1.80403354381534</v>
      </c>
      <c r="I28" s="15" t="n">
        <f aca="false">I27*Asumsi!$D$95</f>
        <v>2.21975105495341</v>
      </c>
      <c r="J28" s="15" t="n">
        <f aca="false">J27*Asumsi!$D$95</f>
        <v>2.66365029301256</v>
      </c>
      <c r="K28" s="15" t="n">
        <f aca="false">K27*Asumsi!$D$95</f>
        <v>3.13028434059667</v>
      </c>
      <c r="L28" s="15" t="n">
        <f aca="false">L27*Asumsi!$D$95</f>
        <v>3.61518152627312</v>
      </c>
      <c r="M28" s="15" t="n">
        <f aca="false">M27*Asumsi!$D$95</f>
        <v>4.1147489353151</v>
      </c>
      <c r="N28" s="15" t="n">
        <f aca="false">N27*Asumsi!$D$95</f>
        <v>4.62616779631399</v>
      </c>
      <c r="O28" s="15" t="n">
        <f aca="false">O27*Asumsi!$D$95</f>
        <v>5.14728973004006</v>
      </c>
      <c r="P28" s="15" t="n">
        <f aca="false">P27*Asumsi!$D$95</f>
        <v>5.67653936352667</v>
      </c>
      <c r="Q28" s="15" t="n">
        <f aca="false">Q27*Asumsi!$D$95</f>
        <v>6.26198487359031</v>
      </c>
      <c r="R28" s="15" t="n">
        <f aca="false">R27*Asumsi!$D$95</f>
        <v>6.85193700477391</v>
      </c>
      <c r="S28" s="15" t="n">
        <f aca="false">S27*Asumsi!$D$95</f>
        <v>7.44616561775704</v>
      </c>
      <c r="T28" s="15" t="n">
        <f aca="false">T27*Asumsi!$D$95</f>
        <v>8.04470495143533</v>
      </c>
      <c r="U28" s="15" t="n">
        <f aca="false">U27*Asumsi!$D$95</f>
        <v>8.64780976637527</v>
      </c>
      <c r="V28" s="15" t="n">
        <f aca="false">V27*Asumsi!$D$95</f>
        <v>9.25591849785195</v>
      </c>
      <c r="W28" s="15" t="n">
        <f aca="false">W27*Asumsi!$D$95</f>
        <v>9.86962255154664</v>
      </c>
      <c r="X28" s="15" t="n">
        <f aca="false">X27*Asumsi!$D$95</f>
        <v>10.4896409180641</v>
      </c>
      <c r="Y28" s="15" t="n">
        <f aca="false">Y27*Asumsi!$D$95</f>
        <v>11.1167993517001</v>
      </c>
      <c r="Z28" s="15" t="n">
        <f aca="false">Z27*Asumsi!$D$95</f>
        <v>11.7520134392434</v>
      </c>
      <c r="AA28" s="15" t="n">
        <f aca="false">AA27*Asumsi!$D$95</f>
        <v>12.3962749667922</v>
      </c>
      <c r="AB28" s="63" t="n">
        <f aca="false">SUM(D28:O28)</f>
        <v>31.4195354634022</v>
      </c>
      <c r="AC28" s="63" t="n">
        <f aca="false">SUM(P28:AA28)</f>
        <v>107.809411302657</v>
      </c>
      <c r="AD28" s="63" t="n">
        <f aca="false">SUM(C28:AA28)</f>
        <v>139.228946766059</v>
      </c>
    </row>
    <row r="29" customFormat="false" ht="15" hidden="false" customHeight="false" outlineLevel="0" collapsed="false">
      <c r="A29" s="4" t="s">
        <v>677</v>
      </c>
      <c r="B29" s="2" t="s">
        <v>46</v>
      </c>
      <c r="D29" s="9" t="n">
        <f aca="false">D28*Asumsi!$D$96*(MIN(Asumsi!$D$91,Asumsi!$D$94/Asumsi!$D$98)+Asumsi!$D$92)*Asumsi!$D$97</f>
        <v>15356.25</v>
      </c>
      <c r="E29" s="9" t="n">
        <f aca="false">E28*Asumsi!$D$96*(MIN(Asumsi!$D$91,Asumsi!$D$94/Asumsi!$D$98)+Asumsi!$D$92)*Asumsi!$D$97</f>
        <v>19876.9567675049</v>
      </c>
      <c r="F29" s="9" t="n">
        <f aca="false">F28*Asumsi!$D$96*(MIN(Asumsi!$D$91,Asumsi!$D$94/Asumsi!$D$98)+Asumsi!$D$92)*Asumsi!$D$97</f>
        <v>25632.8980292946</v>
      </c>
      <c r="G29" s="9" t="n">
        <f aca="false">G28*Asumsi!$D$96*(MIN(Asumsi!$D$91,Asumsi!$D$94/Asumsi!$D$98)+Asumsi!$D$92)*Asumsi!$D$97</f>
        <v>32373.1377333151</v>
      </c>
      <c r="H29" s="9" t="n">
        <f aca="false">H28*Asumsi!$D$96*(MIN(Asumsi!$D$91,Asumsi!$D$94/Asumsi!$D$98)+Asumsi!$D$92)*Asumsi!$D$97</f>
        <v>41041.7631217991</v>
      </c>
      <c r="I29" s="9" t="n">
        <f aca="false">I28*Asumsi!$D$96*(MIN(Asumsi!$D$91,Asumsi!$D$94/Asumsi!$D$98)+Asumsi!$D$92)*Asumsi!$D$97</f>
        <v>50499.33650019</v>
      </c>
      <c r="J29" s="9" t="n">
        <f aca="false">J28*Asumsi!$D$96*(MIN(Asumsi!$D$91,Asumsi!$D$94/Asumsi!$D$98)+Asumsi!$D$92)*Asumsi!$D$97</f>
        <v>60598.0441660357</v>
      </c>
      <c r="K29" s="9" t="n">
        <f aca="false">K28*Asumsi!$D$96*(MIN(Asumsi!$D$91,Asumsi!$D$94/Asumsi!$D$98)+Asumsi!$D$92)*Asumsi!$D$97</f>
        <v>71213.9687485742</v>
      </c>
      <c r="L29" s="9" t="n">
        <f aca="false">L28*Asumsi!$D$96*(MIN(Asumsi!$D$91,Asumsi!$D$94/Asumsi!$D$98)+Asumsi!$D$92)*Asumsi!$D$97</f>
        <v>82245.3797227136</v>
      </c>
      <c r="M29" s="9" t="n">
        <f aca="false">M28*Asumsi!$D$96*(MIN(Asumsi!$D$91,Asumsi!$D$94/Asumsi!$D$98)+Asumsi!$D$92)*Asumsi!$D$97</f>
        <v>93610.5382784184</v>
      </c>
      <c r="N29" s="9" t="n">
        <f aca="false">N28*Asumsi!$D$96*(MIN(Asumsi!$D$91,Asumsi!$D$94/Asumsi!$D$98)+Asumsi!$D$92)*Asumsi!$D$97</f>
        <v>105245.317366143</v>
      </c>
      <c r="O29" s="9" t="n">
        <f aca="false">O28*Asumsi!$D$96*(MIN(Asumsi!$D$91,Asumsi!$D$94/Asumsi!$D$98)+Asumsi!$D$92)*Asumsi!$D$97</f>
        <v>117100.841358411</v>
      </c>
      <c r="P29" s="9" t="n">
        <f aca="false">P28*Asumsi!$D$96*(MIN(Asumsi!$D$91,Asumsi!$D$94/Asumsi!$D$98)+Asumsi!$D$92)*Asumsi!$D$97</f>
        <v>129141.270520232</v>
      </c>
      <c r="Q29" s="9" t="n">
        <f aca="false">Q28*Asumsi!$D$96*(MIN(Asumsi!$D$91,Asumsi!$D$94/Asumsi!$D$98)+Asumsi!$D$92)*Asumsi!$D$97</f>
        <v>142460.15587418</v>
      </c>
      <c r="R29" s="9" t="n">
        <f aca="false">R28*Asumsi!$D$96*(MIN(Asumsi!$D$91,Asumsi!$D$94/Asumsi!$D$98)+Asumsi!$D$92)*Asumsi!$D$97</f>
        <v>155881.566858606</v>
      </c>
      <c r="S29" s="9" t="n">
        <f aca="false">S28*Asumsi!$D$96*(MIN(Asumsi!$D$91,Asumsi!$D$94/Asumsi!$D$98)+Asumsi!$D$92)*Asumsi!$D$97</f>
        <v>169400.267803973</v>
      </c>
      <c r="T29" s="9" t="n">
        <f aca="false">T28*Asumsi!$D$96*(MIN(Asumsi!$D$91,Asumsi!$D$94/Asumsi!$D$98)+Asumsi!$D$92)*Asumsi!$D$97</f>
        <v>183017.037645154</v>
      </c>
      <c r="U29" s="9" t="n">
        <f aca="false">U28*Asumsi!$D$96*(MIN(Asumsi!$D$91,Asumsi!$D$94/Asumsi!$D$98)+Asumsi!$D$92)*Asumsi!$D$97</f>
        <v>196737.672185037</v>
      </c>
      <c r="V29" s="9" t="n">
        <f aca="false">V28*Asumsi!$D$96*(MIN(Asumsi!$D$91,Asumsi!$D$94/Asumsi!$D$98)+Asumsi!$D$92)*Asumsi!$D$97</f>
        <v>210572.145826132</v>
      </c>
      <c r="W29" s="9" t="n">
        <f aca="false">W28*Asumsi!$D$96*(MIN(Asumsi!$D$91,Asumsi!$D$94/Asumsi!$D$98)+Asumsi!$D$92)*Asumsi!$D$97</f>
        <v>224533.913047686</v>
      </c>
      <c r="X29" s="9" t="n">
        <f aca="false">X28*Asumsi!$D$96*(MIN(Asumsi!$D$91,Asumsi!$D$94/Asumsi!$D$98)+Asumsi!$D$92)*Asumsi!$D$97</f>
        <v>238639.330885957</v>
      </c>
      <c r="Y29" s="9" t="n">
        <f aca="false">Y28*Asumsi!$D$96*(MIN(Asumsi!$D$91,Asumsi!$D$94/Asumsi!$D$98)+Asumsi!$D$92)*Asumsi!$D$97</f>
        <v>252907.185251178</v>
      </c>
      <c r="Z29" s="9" t="n">
        <f aca="false">Z28*Asumsi!$D$96*(MIN(Asumsi!$D$91,Asumsi!$D$94/Asumsi!$D$98)+Asumsi!$D$92)*Asumsi!$D$97</f>
        <v>267358.305742788</v>
      </c>
      <c r="AA29" s="9" t="n">
        <f aca="false">AA28*Asumsi!$D$96*(MIN(Asumsi!$D$91,Asumsi!$D$94/Asumsi!$D$98)+Asumsi!$D$92)*Asumsi!$D$97</f>
        <v>282015.255494522</v>
      </c>
      <c r="AB29" s="64" t="n">
        <f aca="false">SUM(D29:O29)</f>
        <v>714794.4317924</v>
      </c>
      <c r="AC29" s="64" t="n">
        <f aca="false">SUM(P29:AA29)</f>
        <v>2452664.10713544</v>
      </c>
      <c r="AD29" s="64" t="n">
        <f aca="false">SUM(C29:AA29)</f>
        <v>3167458.53892784</v>
      </c>
    </row>
    <row r="30" customFormat="false" ht="15" hidden="false" customHeight="false" outlineLevel="0" collapsed="false">
      <c r="A30" s="4" t="s">
        <v>678</v>
      </c>
      <c r="B30" s="2" t="s">
        <v>147</v>
      </c>
      <c r="D30" s="57" t="n">
        <f aca="false">IF(AND(Asumsi!$D$103=1,D29&gt;0),MIN(1,Asumsi!$D$104/D29),1)</f>
        <v>1</v>
      </c>
      <c r="E30" s="57" t="n">
        <f aca="false">IF(AND(Asumsi!$D$103=1,E29&gt;0),MIN(1,Asumsi!$D$104/E29),1)</f>
        <v>1</v>
      </c>
      <c r="F30" s="57" t="n">
        <f aca="false">IF(AND(Asumsi!$D$103=1,F29&gt;0),MIN(1,Asumsi!$D$104/F29),1)</f>
        <v>1</v>
      </c>
      <c r="G30" s="57" t="n">
        <f aca="false">IF(AND(Asumsi!$D$103=1,G29&gt;0),MIN(1,Asumsi!$D$104/G29),1)</f>
        <v>1</v>
      </c>
      <c r="H30" s="57" t="n">
        <f aca="false">IF(AND(Asumsi!$D$103=1,H29&gt;0),MIN(1,Asumsi!$D$104/H29),1)</f>
        <v>1</v>
      </c>
      <c r="I30" s="57" t="n">
        <f aca="false">IF(AND(Asumsi!$D$103=1,I29&gt;0),MIN(1,Asumsi!$D$104/I29),1)</f>
        <v>1</v>
      </c>
      <c r="J30" s="57" t="n">
        <f aca="false">IF(AND(Asumsi!$D$103=1,J29&gt;0),MIN(1,Asumsi!$D$104/J29),1)</f>
        <v>1</v>
      </c>
      <c r="K30" s="57" t="n">
        <f aca="false">IF(AND(Asumsi!$D$103=1,K29&gt;0),MIN(1,Asumsi!$D$104/K29),1)</f>
        <v>1</v>
      </c>
      <c r="L30" s="57" t="n">
        <f aca="false">IF(AND(Asumsi!$D$103=1,L29&gt;0),MIN(1,Asumsi!$D$104/L29),1)</f>
        <v>1</v>
      </c>
      <c r="M30" s="57" t="n">
        <f aca="false">IF(AND(Asumsi!$D$103=1,M29&gt;0),MIN(1,Asumsi!$D$104/M29),1)</f>
        <v>1</v>
      </c>
      <c r="N30" s="57" t="n">
        <f aca="false">IF(AND(Asumsi!$D$103=1,N29&gt;0),MIN(1,Asumsi!$D$104/N29),1)</f>
        <v>1</v>
      </c>
      <c r="O30" s="57" t="n">
        <f aca="false">IF(AND(Asumsi!$D$103=1,O29&gt;0),MIN(1,Asumsi!$D$104/O29),1)</f>
        <v>1</v>
      </c>
      <c r="P30" s="57" t="n">
        <f aca="false">IF(AND(Asumsi!$D$103=1,P29&gt;0),MIN(1,Asumsi!$D$104/P29),1)</f>
        <v>1</v>
      </c>
      <c r="Q30" s="57" t="n">
        <f aca="false">IF(AND(Asumsi!$D$103=1,Q29&gt;0),MIN(1,Asumsi!$D$104/Q29),1)</f>
        <v>1</v>
      </c>
      <c r="R30" s="57" t="n">
        <f aca="false">IF(AND(Asumsi!$D$103=1,R29&gt;0),MIN(1,Asumsi!$D$104/R29),1)</f>
        <v>1</v>
      </c>
      <c r="S30" s="57" t="n">
        <f aca="false">IF(AND(Asumsi!$D$103=1,S29&gt;0),MIN(1,Asumsi!$D$104/S29),1)</f>
        <v>1</v>
      </c>
      <c r="T30" s="57" t="n">
        <f aca="false">IF(AND(Asumsi!$D$103=1,T29&gt;0),MIN(1,Asumsi!$D$104/T29),1)</f>
        <v>1</v>
      </c>
      <c r="U30" s="57" t="n">
        <f aca="false">IF(AND(Asumsi!$D$103=1,U29&gt;0),MIN(1,Asumsi!$D$104/U29),1)</f>
        <v>1</v>
      </c>
      <c r="V30" s="57" t="n">
        <f aca="false">IF(AND(Asumsi!$D$103=1,V29&gt;0),MIN(1,Asumsi!$D$104/V29),1)</f>
        <v>1</v>
      </c>
      <c r="W30" s="57" t="n">
        <f aca="false">IF(AND(Asumsi!$D$103=1,W29&gt;0),MIN(1,Asumsi!$D$104/W29),1)</f>
        <v>1</v>
      </c>
      <c r="X30" s="57" t="n">
        <f aca="false">IF(AND(Asumsi!$D$103=1,X29&gt;0),MIN(1,Asumsi!$D$104/X29),1)</f>
        <v>1</v>
      </c>
      <c r="Y30" s="57" t="n">
        <f aca="false">IF(AND(Asumsi!$D$103=1,Y29&gt;0),MIN(1,Asumsi!$D$104/Y29),1)</f>
        <v>1</v>
      </c>
      <c r="Z30" s="57" t="n">
        <f aca="false">IF(AND(Asumsi!$D$103=1,Z29&gt;0),MIN(1,Asumsi!$D$104/Z29),1)</f>
        <v>1</v>
      </c>
      <c r="AA30" s="57" t="n">
        <f aca="false">IF(AND(Asumsi!$D$103=1,AA29&gt;0),MIN(1,Asumsi!$D$104/AA29),1)</f>
        <v>1</v>
      </c>
    </row>
    <row r="31" customFormat="false" ht="15" hidden="false" customHeight="false" outlineLevel="0" collapsed="false">
      <c r="A31" s="4" t="s">
        <v>679</v>
      </c>
      <c r="B31" s="2" t="s">
        <v>20</v>
      </c>
      <c r="D31" s="49" t="n">
        <f aca="false">D28*D30</f>
        <v>0.675</v>
      </c>
      <c r="E31" s="49" t="n">
        <f aca="false">E28*E30</f>
        <v>0.873712385384829</v>
      </c>
      <c r="F31" s="49" t="n">
        <f aca="false">F28*F30</f>
        <v>1.12672079249647</v>
      </c>
      <c r="G31" s="49" t="n">
        <f aca="false">G28*G30</f>
        <v>1.42299506520066</v>
      </c>
      <c r="H31" s="49" t="n">
        <f aca="false">H28*H30</f>
        <v>1.80403354381534</v>
      </c>
      <c r="I31" s="49" t="n">
        <f aca="false">I28*I30</f>
        <v>2.21975105495341</v>
      </c>
      <c r="J31" s="49" t="n">
        <f aca="false">J28*J30</f>
        <v>2.66365029301256</v>
      </c>
      <c r="K31" s="49" t="n">
        <f aca="false">K28*K30</f>
        <v>3.13028434059667</v>
      </c>
      <c r="L31" s="49" t="n">
        <f aca="false">L28*L30</f>
        <v>3.61518152627312</v>
      </c>
      <c r="M31" s="49" t="n">
        <f aca="false">M28*M30</f>
        <v>4.1147489353151</v>
      </c>
      <c r="N31" s="49" t="n">
        <f aca="false">N28*N30</f>
        <v>4.62616779631399</v>
      </c>
      <c r="O31" s="49" t="n">
        <f aca="false">O28*O30</f>
        <v>5.14728973004006</v>
      </c>
      <c r="P31" s="49" t="n">
        <f aca="false">P28*P30</f>
        <v>5.67653936352667</v>
      </c>
      <c r="Q31" s="49" t="n">
        <f aca="false">Q28*Q30</f>
        <v>6.26198487359031</v>
      </c>
      <c r="R31" s="49" t="n">
        <f aca="false">R28*R30</f>
        <v>6.85193700477391</v>
      </c>
      <c r="S31" s="49" t="n">
        <f aca="false">S28*S30</f>
        <v>7.44616561775704</v>
      </c>
      <c r="T31" s="49" t="n">
        <f aca="false">T28*T30</f>
        <v>8.04470495143533</v>
      </c>
      <c r="U31" s="49" t="n">
        <f aca="false">U28*U30</f>
        <v>8.64780976637527</v>
      </c>
      <c r="V31" s="49" t="n">
        <f aca="false">V28*V30</f>
        <v>9.25591849785195</v>
      </c>
      <c r="W31" s="49" t="n">
        <f aca="false">W28*W30</f>
        <v>9.86962255154664</v>
      </c>
      <c r="X31" s="49" t="n">
        <f aca="false">X28*X30</f>
        <v>10.4896409180641</v>
      </c>
      <c r="Y31" s="49" t="n">
        <f aca="false">Y28*Y30</f>
        <v>11.1167993517001</v>
      </c>
      <c r="Z31" s="49" t="n">
        <f aca="false">Z28*Z30</f>
        <v>11.7520134392434</v>
      </c>
      <c r="AA31" s="49" t="n">
        <f aca="false">AA28*AA30</f>
        <v>12.3962749667922</v>
      </c>
      <c r="AB31" s="63" t="n">
        <f aca="false">SUM(D31:O31)</f>
        <v>31.4195354634022</v>
      </c>
      <c r="AC31" s="63" t="n">
        <f aca="false">SUM(P31:AA31)</f>
        <v>107.809411302657</v>
      </c>
      <c r="AD31" s="63" t="n">
        <f aca="false">SUM(C31:AA31)</f>
        <v>139.228946766059</v>
      </c>
    </row>
    <row r="32" customFormat="false" ht="15" hidden="false" customHeight="false" outlineLevel="0" collapsed="false">
      <c r="A32" s="4" t="s">
        <v>680</v>
      </c>
      <c r="B32" s="2" t="s">
        <v>20</v>
      </c>
      <c r="D32" s="49" t="n">
        <f aca="false">D24+D26+D31</f>
        <v>34.9607142857143</v>
      </c>
      <c r="E32" s="49" t="n">
        <f aca="false">E24+E26+E31</f>
        <v>36.1594266710991</v>
      </c>
      <c r="F32" s="49" t="n">
        <f aca="false">F24+F26+F31</f>
        <v>37.4624350782108</v>
      </c>
      <c r="G32" s="49" t="n">
        <f aca="false">G24+G26+G31</f>
        <v>96.0040664937721</v>
      </c>
      <c r="H32" s="49" t="n">
        <f aca="false">H24+H26+H31</f>
        <v>97.5427299723868</v>
      </c>
      <c r="I32" s="49" t="n">
        <f aca="false">I24+I26+I31</f>
        <v>99.1739537335248</v>
      </c>
      <c r="J32" s="49" t="n">
        <f aca="false">J24+J26+J31</f>
        <v>100.894134534084</v>
      </c>
      <c r="K32" s="49" t="n">
        <f aca="false">K24+K26+K31</f>
        <v>102.700864222293</v>
      </c>
      <c r="L32" s="49" t="n">
        <f aca="false">L24+L26+L31</f>
        <v>104.592861830626</v>
      </c>
      <c r="M32" s="49" t="n">
        <f aca="false">M24+M26+M31</f>
        <v>106.569884683457</v>
      </c>
      <c r="N32" s="49" t="n">
        <f aca="false">N24+N26+N31</f>
        <v>108.632631760434</v>
      </c>
      <c r="O32" s="49" t="n">
        <f aca="false">O24+O26+O31</f>
        <v>110.782648320938</v>
      </c>
      <c r="P32" s="49" t="n">
        <f aca="false">P24+P26+P31</f>
        <v>141.593665883969</v>
      </c>
      <c r="Q32" s="49" t="n">
        <f aca="false">Q24+Q26+Q31</f>
        <v>143.974967720055</v>
      </c>
      <c r="R32" s="49" t="n">
        <f aca="false">R24+R26+R31</f>
        <v>146.450568993562</v>
      </c>
      <c r="S32" s="49" t="n">
        <f aca="false">S24+S26+S31</f>
        <v>149.024729205984</v>
      </c>
      <c r="T32" s="49" t="n">
        <f aca="false">T24+T26+T31</f>
        <v>151.702196719074</v>
      </c>
      <c r="U32" s="49" t="n">
        <f aca="false">U24+U26+U31</f>
        <v>154.488176122396</v>
      </c>
      <c r="V32" s="49" t="n">
        <f aca="false">V24+V26+V31</f>
        <v>157.388303171674</v>
      </c>
      <c r="W32" s="49" t="n">
        <f aca="false">W24+W26+W31</f>
        <v>160.408626459059</v>
      </c>
      <c r="X32" s="49" t="n">
        <f aca="false">X24+X26+X31</f>
        <v>163.555595020953</v>
      </c>
      <c r="Y32" s="49" t="n">
        <f aca="false">Y24+Y26+Y31</f>
        <v>166.836051159733</v>
      </c>
      <c r="Z32" s="49" t="n">
        <f aca="false">Z24+Z26+Z31</f>
        <v>170.257227837678</v>
      </c>
      <c r="AA32" s="49" t="n">
        <f aca="false">AA24+AA26+AA31</f>
        <v>173.826750085148</v>
      </c>
      <c r="AB32" s="63" t="n">
        <f aca="false">SUM(D32:O32)</f>
        <v>1035.47635158654</v>
      </c>
      <c r="AC32" s="63" t="n">
        <f aca="false">SUM(P32:AA32)</f>
        <v>1879.50685837929</v>
      </c>
      <c r="AD32" s="63" t="n">
        <f aca="false">SUM(C32:AA32)</f>
        <v>2914.98320996583</v>
      </c>
    </row>
    <row r="33" customFormat="false" ht="15" hidden="false" customHeight="false" outlineLevel="0" collapsed="false">
      <c r="A33" s="4" t="s">
        <v>681</v>
      </c>
      <c r="B33" s="2" t="s">
        <v>12</v>
      </c>
      <c r="D33" s="9" t="n">
        <f aca="false">D32+D27*Asumsi!$D$89</f>
        <v>38.5607142857143</v>
      </c>
      <c r="E33" s="9" t="n">
        <f aca="false">E32+E27*Asumsi!$D$89</f>
        <v>40.8192260598182</v>
      </c>
      <c r="F33" s="9" t="n">
        <f aca="false">F32+F27*Asumsi!$D$89</f>
        <v>43.4716126381919</v>
      </c>
      <c r="G33" s="9" t="n">
        <f aca="false">G32+G27*Asumsi!$D$89</f>
        <v>103.593373508176</v>
      </c>
      <c r="H33" s="9" t="n">
        <f aca="false">H32+H27*Asumsi!$D$89</f>
        <v>107.164242206069</v>
      </c>
      <c r="I33" s="9" t="n">
        <f aca="false">I32+I27*Asumsi!$D$89</f>
        <v>111.01262602661</v>
      </c>
      <c r="J33" s="9" t="n">
        <f aca="false">J32+J27*Asumsi!$D$89</f>
        <v>115.100269430151</v>
      </c>
      <c r="K33" s="9" t="n">
        <f aca="false">K32+K27*Asumsi!$D$89</f>
        <v>119.395714038809</v>
      </c>
      <c r="L33" s="9" t="n">
        <f aca="false">L32+L27*Asumsi!$D$89</f>
        <v>123.873829970749</v>
      </c>
      <c r="M33" s="9" t="n">
        <f aca="false">M32+M27*Asumsi!$D$89</f>
        <v>128.515212338471</v>
      </c>
      <c r="N33" s="9" t="n">
        <f aca="false">N32+N27*Asumsi!$D$89</f>
        <v>133.305526674109</v>
      </c>
      <c r="O33" s="9" t="n">
        <f aca="false">O32+O27*Asumsi!$D$89</f>
        <v>138.234860214485</v>
      </c>
      <c r="P33" s="9" t="n">
        <f aca="false">P32+P27*Asumsi!$D$89</f>
        <v>171.868542489445</v>
      </c>
      <c r="Q33" s="9" t="n">
        <f aca="false">Q32+Q27*Asumsi!$D$89</f>
        <v>177.372220379203</v>
      </c>
      <c r="R33" s="9" t="n">
        <f aca="false">R32+R27*Asumsi!$D$89</f>
        <v>182.994233019023</v>
      </c>
      <c r="S33" s="9" t="n">
        <f aca="false">S32+S27*Asumsi!$D$89</f>
        <v>188.737612500689</v>
      </c>
      <c r="T33" s="9" t="n">
        <f aca="false">T32+T27*Asumsi!$D$89</f>
        <v>194.607289793396</v>
      </c>
      <c r="U33" s="9" t="n">
        <f aca="false">U32+U27*Asumsi!$D$89</f>
        <v>200.609828209731</v>
      </c>
      <c r="V33" s="9" t="n">
        <f aca="false">V32+V27*Asumsi!$D$89</f>
        <v>206.753201826884</v>
      </c>
      <c r="W33" s="9" t="n">
        <f aca="false">W32+W27*Asumsi!$D$89</f>
        <v>213.046613400642</v>
      </c>
      <c r="X33" s="9" t="n">
        <f aca="false">X32+X27*Asumsi!$D$89</f>
        <v>219.500346583961</v>
      </c>
      <c r="Y33" s="9" t="n">
        <f aca="false">Y32+Y27*Asumsi!$D$89</f>
        <v>226.125647702134</v>
      </c>
      <c r="Z33" s="9" t="n">
        <f aca="false">Z32+Z27*Asumsi!$D$89</f>
        <v>232.934632846976</v>
      </c>
      <c r="AA33" s="9" t="n">
        <f aca="false">AA32+AA27*Asumsi!$D$89</f>
        <v>239.940216574707</v>
      </c>
      <c r="AB33" s="64" t="n">
        <f aca="false">SUM(D33:O33)</f>
        <v>1203.04720739135</v>
      </c>
      <c r="AC33" s="64" t="n">
        <f aca="false">SUM(P33:AA33)</f>
        <v>2454.49038532679</v>
      </c>
      <c r="AD33" s="64" t="n">
        <f aca="false">SUM(C33:AA33)</f>
        <v>3657.53759271814</v>
      </c>
    </row>
    <row r="34" customFormat="false" ht="15" hidden="false" customHeight="false" outlineLevel="0" collapsed="false">
      <c r="A34" s="4" t="s">
        <v>682</v>
      </c>
      <c r="B34" s="2" t="s">
        <v>12</v>
      </c>
      <c r="D34" s="36" t="n">
        <f aca="false">MIN(D33,D22)</f>
        <v>21.75</v>
      </c>
      <c r="E34" s="36" t="n">
        <f aca="false">MIN(E33,E22)</f>
        <v>28.4625</v>
      </c>
      <c r="F34" s="36" t="n">
        <f aca="false">MIN(F33,F22)</f>
        <v>35.151375</v>
      </c>
      <c r="G34" s="36" t="n">
        <f aca="false">MIN(G33,G22)</f>
        <v>41.83028625</v>
      </c>
      <c r="H34" s="36" t="n">
        <f aca="false">MIN(H33,H22)</f>
        <v>48.5127111375</v>
      </c>
      <c r="I34" s="36" t="n">
        <f aca="false">MIN(I33,I22)</f>
        <v>55.211972348625</v>
      </c>
      <c r="J34" s="36" t="n">
        <f aca="false">MIN(J33,J22)</f>
        <v>61.9412663699138</v>
      </c>
      <c r="K34" s="36" t="n">
        <f aca="false">MIN(K33,K22)</f>
        <v>68.7136913956869</v>
      </c>
      <c r="L34" s="36" t="n">
        <f aca="false">MIN(L33,L22)</f>
        <v>75.5422747039421</v>
      </c>
      <c r="M34" s="36" t="n">
        <f aca="false">MIN(M33,M22)</f>
        <v>82.4399995619061</v>
      </c>
      <c r="N34" s="36" t="n">
        <f aca="false">MIN(N33,N22)</f>
        <v>89.4198317206984</v>
      </c>
      <c r="O34" s="36" t="n">
        <f aca="false">MIN(O33,O22)</f>
        <v>96.4947455570265</v>
      </c>
      <c r="P34" s="36" t="n">
        <f aca="false">MIN(P33,P22)</f>
        <v>103.677749918433</v>
      </c>
      <c r="Q34" s="36" t="n">
        <f aca="false">MIN(Q33,Q22)</f>
        <v>110.981913727339</v>
      </c>
      <c r="R34" s="36" t="n">
        <f aca="false">MIN(R33,R22)</f>
        <v>118.420391397993</v>
      </c>
      <c r="S34" s="36" t="n">
        <f aca="false">MIN(S33,S22)</f>
        <v>126.006448119395</v>
      </c>
      <c r="T34" s="36" t="n">
        <f aca="false">MIN(T33,T22)</f>
        <v>133.75348505638</v>
      </c>
      <c r="U34" s="36" t="n">
        <f aca="false">MIN(U33,U22)</f>
        <v>141.675064520233</v>
      </c>
      <c r="V34" s="36" t="n">
        <f aca="false">MIN(V33,V22)</f>
        <v>149.78493515956</v>
      </c>
      <c r="W34" s="36" t="n">
        <f aca="false">MIN(W33,W22)</f>
        <v>158.097057221535</v>
      </c>
      <c r="X34" s="36" t="n">
        <f aca="false">MIN(X33,X22)</f>
        <v>166.625627933208</v>
      </c>
      <c r="Y34" s="36" t="n">
        <f aca="false">MIN(Y33,Y22)</f>
        <v>175.385107052209</v>
      </c>
      <c r="Z34" s="36" t="n">
        <f aca="false">MIN(Z33,Z22)</f>
        <v>184.390242635885</v>
      </c>
      <c r="AA34" s="36" t="n">
        <f aca="false">MIN(AA33,AA22)</f>
        <v>193.65609707783</v>
      </c>
      <c r="AB34" s="64" t="n">
        <f aca="false">SUM(D34:O34)</f>
        <v>705.470654045299</v>
      </c>
      <c r="AC34" s="64" t="n">
        <f aca="false">SUM(P34:AA34)</f>
        <v>1762.45411982</v>
      </c>
      <c r="AD34" s="64" t="n">
        <f aca="false">SUM(C34:AA34)</f>
        <v>2467.9247738653</v>
      </c>
    </row>
    <row r="35" customFormat="false" ht="15" hidden="false" customHeight="false" outlineLevel="0" collapsed="false">
      <c r="A35" s="4" t="s">
        <v>683</v>
      </c>
      <c r="B35" s="2" t="s">
        <v>25</v>
      </c>
      <c r="D35" s="40" t="n">
        <f aca="false">IF(D33&gt;0,D34/D33,0)</f>
        <v>0.564045568213393</v>
      </c>
      <c r="E35" s="40" t="n">
        <f aca="false">IF(E33&gt;0,E34/E33,0)</f>
        <v>0.697281716176829</v>
      </c>
      <c r="F35" s="40" t="n">
        <f aca="false">IF(F33&gt;0,F34/F33,0)</f>
        <v>0.808605268283004</v>
      </c>
      <c r="G35" s="40" t="n">
        <f aca="false">IF(G33&gt;0,G34/G33,0)</f>
        <v>0.403793069319233</v>
      </c>
      <c r="H35" s="40" t="n">
        <f aca="false">IF(H33&gt;0,H34/H33,0)</f>
        <v>0.45269494878911</v>
      </c>
      <c r="I35" s="40" t="n">
        <f aca="false">IF(I33&gt;0,I34/I33,0)</f>
        <v>0.497348583893428</v>
      </c>
      <c r="J35" s="40" t="n">
        <f aca="false">IF(J33&gt;0,J34/J33,0)</f>
        <v>0.538150489799705</v>
      </c>
      <c r="K35" s="40" t="n">
        <f aca="false">IF(K33&gt;0,K34/K33,0)</f>
        <v>0.575512211211803</v>
      </c>
      <c r="L35" s="40" t="n">
        <f aca="false">IF(L33&gt;0,L34/L33,0)</f>
        <v>0.609832397381918</v>
      </c>
      <c r="M35" s="40" t="n">
        <f aca="false">IF(M33&gt;0,M34/M33,0)</f>
        <v>0.641480475827124</v>
      </c>
      <c r="N35" s="40" t="n">
        <f aca="false">IF(N33&gt;0,N34/N33,0)</f>
        <v>0.670788630836758</v>
      </c>
      <c r="O35" s="40" t="n">
        <f aca="false">IF(O33&gt;0,O34/O33,0)</f>
        <v>0.69804928660763</v>
      </c>
      <c r="P35" s="40" t="n">
        <f aca="false">IF(P33&gt;0,P34/P33,0)</f>
        <v>0.603238663787471</v>
      </c>
      <c r="Q35" s="40" t="n">
        <f aca="false">IF(Q33&gt;0,Q34/Q33,0)</f>
        <v>0.625700650812575</v>
      </c>
      <c r="R35" s="40" t="n">
        <f aca="false">IF(R33&gt;0,R34/R33,0)</f>
        <v>0.647126357176967</v>
      </c>
      <c r="S35" s="40" t="n">
        <f aca="false">IF(S33&gt;0,S34/S33,0)</f>
        <v>0.667627646921387</v>
      </c>
      <c r="T35" s="40" t="n">
        <f aca="false">IF(T33&gt;0,T34/T33,0)</f>
        <v>0.687299459328469</v>
      </c>
      <c r="U35" s="40" t="n">
        <f aca="false">IF(U33&gt;0,U34/U33,0)</f>
        <v>0.706221952257076</v>
      </c>
      <c r="V35" s="40" t="n">
        <f aca="false">IF(V33&gt;0,V34/V33,0)</f>
        <v>0.724462469437238</v>
      </c>
      <c r="W35" s="40" t="n">
        <f aca="false">IF(W33&gt;0,W34/W33,0)</f>
        <v>0.742077307392949</v>
      </c>
      <c r="X35" s="40" t="n">
        <f aca="false">IF(X33&gt;0,X34/X33,0)</f>
        <v>0.759113279438366</v>
      </c>
      <c r="Y35" s="40" t="n">
        <f aca="false">IF(Y33&gt;0,Y34/Y33,0)</f>
        <v>0.775609086516522</v>
      </c>
      <c r="Z35" s="40" t="n">
        <f aca="false">IF(Z33&gt;0,Z34/Z33,0)</f>
        <v>0.791596510927675</v>
      </c>
      <c r="AA35" s="40" t="n">
        <f aca="false">IF(AA33&gt;0,AA34/AA33,0)</f>
        <v>0.807101451529839</v>
      </c>
      <c r="AB35" s="65" t="n">
        <f aca="false">IF(AB33&gt;0,AB34/AB33,0)</f>
        <v>0.586403135064848</v>
      </c>
      <c r="AC35" s="65" t="n">
        <f aca="false">IF(AC33&gt;0,AC34/AC33,0)</f>
        <v>0.718052973585125</v>
      </c>
      <c r="AD35" s="65" t="n">
        <f aca="false">IF(AD33&gt;0,AD34/AD33,0)</f>
        <v>0.674750350831318</v>
      </c>
    </row>
    <row r="36" customFormat="false" ht="15" hidden="false" customHeight="false" outlineLevel="0" collapsed="false">
      <c r="A36" s="4" t="s">
        <v>684</v>
      </c>
      <c r="B36" s="2" t="s">
        <v>20</v>
      </c>
      <c r="C36" s="9" t="n">
        <f aca="false">Asumsi!$D$81</f>
        <v>50</v>
      </c>
      <c r="D36" s="36" t="n">
        <f aca="false">D27+D32*D35</f>
        <v>64.7194359544318</v>
      </c>
      <c r="E36" s="36" t="n">
        <f aca="false">E27+E32*E35</f>
        <v>83.4607994441828</v>
      </c>
      <c r="F36" s="36" t="n">
        <f aca="false">F27+F32*F35</f>
        <v>105.407041866716</v>
      </c>
      <c r="G36" s="36" t="n">
        <f aca="false">G27+G32*G35</f>
        <v>133.632114356692</v>
      </c>
      <c r="H36" s="36" t="n">
        <f aca="false">H27+H32*H35</f>
        <v>164.426004070623</v>
      </c>
      <c r="I36" s="36" t="n">
        <f aca="false">I27+I32*I35</f>
        <v>197.307429112041</v>
      </c>
      <c r="J36" s="36" t="n">
        <f aca="false">J27+J32*J35</f>
        <v>231.872914118272</v>
      </c>
      <c r="K36" s="36" t="n">
        <f aca="false">K27+K32*K35</f>
        <v>267.79122416838</v>
      </c>
      <c r="L36" s="36" t="n">
        <f aca="false">L27+L32*L35</f>
        <v>304.796217430748</v>
      </c>
      <c r="M36" s="36" t="n">
        <f aca="false">M27+M32*M35</f>
        <v>342.679096023259</v>
      </c>
      <c r="N36" s="36" t="n">
        <f aca="false">N27+N32*N35</f>
        <v>381.280720743708</v>
      </c>
      <c r="O36" s="36" t="n">
        <f aca="false">O27+O32*O35</f>
        <v>420.484397298272</v>
      </c>
      <c r="P36" s="36" t="n">
        <f aca="false">P27+P32*P35</f>
        <v>463.85073137706</v>
      </c>
      <c r="Q36" s="36" t="n">
        <f aca="false">Q27+Q32*Q35</f>
        <v>507.550889242512</v>
      </c>
      <c r="R36" s="36" t="n">
        <f aca="false">R27+R32*R35</f>
        <v>551.567823537559</v>
      </c>
      <c r="S36" s="36" t="n">
        <f aca="false">S27+S32*S35</f>
        <v>595.904070476691</v>
      </c>
      <c r="T36" s="36" t="n">
        <f aca="false">T27+T32*T35</f>
        <v>640.578501212983</v>
      </c>
      <c r="U36" s="36" t="n">
        <f aca="false">U27+U32*U35</f>
        <v>685.623592433478</v>
      </c>
      <c r="V36" s="36" t="n">
        <f aca="false">V27+V32*V35</f>
        <v>731.083151966417</v>
      </c>
      <c r="W36" s="36" t="n">
        <f aca="false">W27+W32*W35</f>
        <v>777.010438375116</v>
      </c>
      <c r="X36" s="36" t="n">
        <f aca="false">X27+X32*X35</f>
        <v>823.466618644453</v>
      </c>
      <c r="Y36" s="36" t="n">
        <f aca="false">Y27+Y32*Y35</f>
        <v>870.519514018032</v>
      </c>
      <c r="Z36" s="36" t="n">
        <f aca="false">Z27+Z32*Z35</f>
        <v>918.242590132753</v>
      </c>
      <c r="AA36" s="36" t="n">
        <f aca="false">AA27+AA32*AA35</f>
        <v>966.714153427915</v>
      </c>
      <c r="AB36" s="64" t="n">
        <f aca="false">O36</f>
        <v>420.484397298272</v>
      </c>
      <c r="AC36" s="64" t="n">
        <f aca="false">AA36</f>
        <v>966.714153427915</v>
      </c>
      <c r="AD36" s="64" t="n">
        <f aca="false">AA36</f>
        <v>966.714153427915</v>
      </c>
    </row>
    <row r="37" customFormat="false" ht="15" hidden="false" customHeight="false" outlineLevel="0" collapsed="false">
      <c r="A37" s="4" t="s">
        <v>685</v>
      </c>
      <c r="B37" s="2" t="s">
        <v>12</v>
      </c>
      <c r="D37" s="15" t="n">
        <f aca="false">D34*Asumsi!$D$65</f>
        <v>1.74</v>
      </c>
      <c r="E37" s="15" t="n">
        <f aca="false">E34*Asumsi!$D$65</f>
        <v>2.277</v>
      </c>
      <c r="F37" s="15" t="n">
        <f aca="false">F34*Asumsi!$D$65</f>
        <v>2.81211</v>
      </c>
      <c r="G37" s="15" t="n">
        <f aca="false">G34*Asumsi!$D$65</f>
        <v>3.3464229</v>
      </c>
      <c r="H37" s="15" t="n">
        <f aca="false">H34*Asumsi!$D$65</f>
        <v>3.881016891</v>
      </c>
      <c r="I37" s="15" t="n">
        <f aca="false">I34*Asumsi!$D$65</f>
        <v>4.41695778789</v>
      </c>
      <c r="J37" s="15" t="n">
        <f aca="false">J34*Asumsi!$D$65</f>
        <v>4.9553013095931</v>
      </c>
      <c r="K37" s="15" t="n">
        <f aca="false">K34*Asumsi!$D$65</f>
        <v>5.49709531165495</v>
      </c>
      <c r="L37" s="15" t="n">
        <f aca="false">L34*Asumsi!$D$65</f>
        <v>6.04338197631537</v>
      </c>
      <c r="M37" s="15" t="n">
        <f aca="false">M34*Asumsi!$D$65</f>
        <v>6.59519996495249</v>
      </c>
      <c r="N37" s="15" t="n">
        <f aca="false">N34*Asumsi!$D$65</f>
        <v>7.15358653765587</v>
      </c>
      <c r="O37" s="15" t="n">
        <f aca="false">O34*Asumsi!$D$65</f>
        <v>7.71957964456212</v>
      </c>
      <c r="P37" s="15" t="n">
        <f aca="false">P34*Asumsi!$D$65</f>
        <v>8.29421999347463</v>
      </c>
      <c r="Q37" s="15" t="n">
        <f aca="false">Q34*Asumsi!$D$65</f>
        <v>8.87855309818713</v>
      </c>
      <c r="R37" s="15" t="n">
        <f aca="false">R34*Asumsi!$D$65</f>
        <v>9.47363131183945</v>
      </c>
      <c r="S37" s="15" t="n">
        <f aca="false">S34*Asumsi!$D$65</f>
        <v>10.0805158495516</v>
      </c>
      <c r="T37" s="15" t="n">
        <f aca="false">T34*Asumsi!$D$65</f>
        <v>10.7002788045104</v>
      </c>
      <c r="U37" s="15" t="n">
        <f aca="false">U34*Asumsi!$D$65</f>
        <v>11.3340051616186</v>
      </c>
      <c r="V37" s="15" t="n">
        <f aca="false">V34*Asumsi!$D$65</f>
        <v>11.9827948127648</v>
      </c>
      <c r="W37" s="15" t="n">
        <f aca="false">W34*Asumsi!$D$65</f>
        <v>12.6477645777228</v>
      </c>
      <c r="X37" s="15" t="n">
        <f aca="false">X34*Asumsi!$D$65</f>
        <v>13.3300502346567</v>
      </c>
      <c r="Y37" s="15" t="n">
        <f aca="false">Y34*Asumsi!$D$65</f>
        <v>14.0308085641767</v>
      </c>
      <c r="Z37" s="15" t="n">
        <f aca="false">Z34*Asumsi!$D$65</f>
        <v>14.7512194108708</v>
      </c>
      <c r="AA37" s="15" t="n">
        <f aca="false">AA34*Asumsi!$D$65</f>
        <v>15.4924877662264</v>
      </c>
      <c r="AB37" s="63" t="n">
        <f aca="false">SUM(D37:O37)</f>
        <v>56.4376523236239</v>
      </c>
      <c r="AC37" s="63" t="n">
        <f aca="false">SUM(P37:AA37)</f>
        <v>140.9963295856</v>
      </c>
      <c r="AD37" s="63" t="n">
        <f aca="false">SUM(C37:AA37)</f>
        <v>197.433981909224</v>
      </c>
    </row>
    <row r="38" customFormat="false" ht="15" hidden="false" customHeight="false" outlineLevel="0" collapsed="false">
      <c r="A38" s="4" t="s">
        <v>686</v>
      </c>
      <c r="B38" s="2" t="s">
        <v>12</v>
      </c>
      <c r="D38" s="36" t="n">
        <f aca="false">D34-D37</f>
        <v>20.01</v>
      </c>
      <c r="E38" s="36" t="n">
        <f aca="false">E34-E37</f>
        <v>26.1855</v>
      </c>
      <c r="F38" s="36" t="n">
        <f aca="false">F34-F37</f>
        <v>32.339265</v>
      </c>
      <c r="G38" s="36" t="n">
        <f aca="false">G34-G37</f>
        <v>38.48386335</v>
      </c>
      <c r="H38" s="36" t="n">
        <f aca="false">H34-H37</f>
        <v>44.6316942465</v>
      </c>
      <c r="I38" s="36" t="n">
        <f aca="false">I34-I37</f>
        <v>50.795014560735</v>
      </c>
      <c r="J38" s="36" t="n">
        <f aca="false">J34-J37</f>
        <v>56.9859650603207</v>
      </c>
      <c r="K38" s="36" t="n">
        <f aca="false">K34-K37</f>
        <v>63.2165960840319</v>
      </c>
      <c r="L38" s="36" t="n">
        <f aca="false">L34-L37</f>
        <v>69.4988927276267</v>
      </c>
      <c r="M38" s="36" t="n">
        <f aca="false">M34-M37</f>
        <v>75.8447995969536</v>
      </c>
      <c r="N38" s="36" t="n">
        <f aca="false">N34-N37</f>
        <v>82.2662451830425</v>
      </c>
      <c r="O38" s="36" t="n">
        <f aca="false">O34-O37</f>
        <v>88.7751659124644</v>
      </c>
      <c r="P38" s="36" t="n">
        <f aca="false">P34-P37</f>
        <v>95.3835299249582</v>
      </c>
      <c r="Q38" s="36" t="n">
        <f aca="false">Q34-Q37</f>
        <v>102.103360629152</v>
      </c>
      <c r="R38" s="36" t="n">
        <f aca="false">R34-R37</f>
        <v>108.946760086154</v>
      </c>
      <c r="S38" s="36" t="n">
        <f aca="false">S34-S37</f>
        <v>115.925932269844</v>
      </c>
      <c r="T38" s="36" t="n">
        <f aca="false">T34-T37</f>
        <v>123.053206251869</v>
      </c>
      <c r="U38" s="36" t="n">
        <f aca="false">U34-U37</f>
        <v>130.341059358614</v>
      </c>
      <c r="V38" s="36" t="n">
        <f aca="false">V34-V37</f>
        <v>137.802140346795</v>
      </c>
      <c r="W38" s="36" t="n">
        <f aca="false">W34-W37</f>
        <v>145.449292643812</v>
      </c>
      <c r="X38" s="36" t="n">
        <f aca="false">X34-X37</f>
        <v>153.295577698552</v>
      </c>
      <c r="Y38" s="36" t="n">
        <f aca="false">Y34-Y37</f>
        <v>161.354298488032</v>
      </c>
      <c r="Z38" s="36" t="n">
        <f aca="false">Z34-Z37</f>
        <v>169.639023225015</v>
      </c>
      <c r="AA38" s="36" t="n">
        <f aca="false">AA34-AA37</f>
        <v>178.163609311603</v>
      </c>
      <c r="AB38" s="64" t="n">
        <f aca="false">SUM(D38:O38)</f>
        <v>649.033001721675</v>
      </c>
      <c r="AC38" s="64" t="n">
        <f aca="false">SUM(P38:AA38)</f>
        <v>1621.4577902344</v>
      </c>
      <c r="AD38" s="64" t="n">
        <f aca="false">SUM(C38:AA38)</f>
        <v>2270.49079195607</v>
      </c>
    </row>
    <row r="39" customFormat="false" ht="15" hidden="false" customHeight="false" outlineLevel="0" collapsed="false">
      <c r="A39" s="4" t="s">
        <v>687</v>
      </c>
      <c r="B39" s="2" t="s">
        <v>28</v>
      </c>
      <c r="D39" s="34" t="str">
        <f aca="false">IF(D33&gt;D22,"Pasokan","Permintaan")</f>
        <v>Pasokan</v>
      </c>
      <c r="E39" s="34" t="str">
        <f aca="false">IF(E33&gt;E22,"Pasokan","Permintaan")</f>
        <v>Pasokan</v>
      </c>
      <c r="F39" s="34" t="str">
        <f aca="false">IF(F33&gt;F22,"Pasokan","Permintaan")</f>
        <v>Pasokan</v>
      </c>
      <c r="G39" s="34" t="str">
        <f aca="false">IF(G33&gt;G22,"Pasokan","Permintaan")</f>
        <v>Pasokan</v>
      </c>
      <c r="H39" s="34" t="str">
        <f aca="false">IF(H33&gt;H22,"Pasokan","Permintaan")</f>
        <v>Pasokan</v>
      </c>
      <c r="I39" s="34" t="str">
        <f aca="false">IF(I33&gt;I22,"Pasokan","Permintaan")</f>
        <v>Pasokan</v>
      </c>
      <c r="J39" s="34" t="str">
        <f aca="false">IF(J33&gt;J22,"Pasokan","Permintaan")</f>
        <v>Pasokan</v>
      </c>
      <c r="K39" s="34" t="str">
        <f aca="false">IF(K33&gt;K22,"Pasokan","Permintaan")</f>
        <v>Pasokan</v>
      </c>
      <c r="L39" s="34" t="str">
        <f aca="false">IF(L33&gt;L22,"Pasokan","Permintaan")</f>
        <v>Pasokan</v>
      </c>
      <c r="M39" s="34" t="str">
        <f aca="false">IF(M33&gt;M22,"Pasokan","Permintaan")</f>
        <v>Pasokan</v>
      </c>
      <c r="N39" s="34" t="str">
        <f aca="false">IF(N33&gt;N22,"Pasokan","Permintaan")</f>
        <v>Pasokan</v>
      </c>
      <c r="O39" s="34" t="str">
        <f aca="false">IF(O33&gt;O22,"Pasokan","Permintaan")</f>
        <v>Pasokan</v>
      </c>
      <c r="P39" s="34" t="str">
        <f aca="false">IF(P33&gt;P22,"Pasokan","Permintaan")</f>
        <v>Pasokan</v>
      </c>
      <c r="Q39" s="34" t="str">
        <f aca="false">IF(Q33&gt;Q22,"Pasokan","Permintaan")</f>
        <v>Pasokan</v>
      </c>
      <c r="R39" s="34" t="str">
        <f aca="false">IF(R33&gt;R22,"Pasokan","Permintaan")</f>
        <v>Pasokan</v>
      </c>
      <c r="S39" s="34" t="str">
        <f aca="false">IF(S33&gt;S22,"Pasokan","Permintaan")</f>
        <v>Pasokan</v>
      </c>
      <c r="T39" s="34" t="str">
        <f aca="false">IF(T33&gt;T22,"Pasokan","Permintaan")</f>
        <v>Pasokan</v>
      </c>
      <c r="U39" s="34" t="str">
        <f aca="false">IF(U33&gt;U22,"Pasokan","Permintaan")</f>
        <v>Pasokan</v>
      </c>
      <c r="V39" s="34" t="str">
        <f aca="false">IF(V33&gt;V22,"Pasokan","Permintaan")</f>
        <v>Pasokan</v>
      </c>
      <c r="W39" s="34" t="str">
        <f aca="false">IF(W33&gt;W22,"Pasokan","Permintaan")</f>
        <v>Pasokan</v>
      </c>
      <c r="X39" s="34" t="str">
        <f aca="false">IF(X33&gt;X22,"Pasokan","Permintaan")</f>
        <v>Pasokan</v>
      </c>
      <c r="Y39" s="34" t="str">
        <f aca="false">IF(Y33&gt;Y22,"Pasokan","Permintaan")</f>
        <v>Pasokan</v>
      </c>
      <c r="Z39" s="34" t="str">
        <f aca="false">IF(Z33&gt;Z22,"Pasokan","Permintaan")</f>
        <v>Pasokan</v>
      </c>
      <c r="AA39" s="34" t="str">
        <f aca="false">IF(AA33&gt;AA22,"Pasokan","Permintaan")</f>
        <v>Pasokan</v>
      </c>
    </row>
    <row r="40" customFormat="false" ht="15" hidden="false" customHeight="false" outlineLevel="0" collapsed="false">
      <c r="A40" s="7" t="s">
        <v>688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15" hidden="false" customHeight="false" outlineLevel="0" collapsed="false">
      <c r="A41" s="4" t="s">
        <v>689</v>
      </c>
      <c r="B41" s="2" t="s">
        <v>46</v>
      </c>
      <c r="D41" s="9" t="n">
        <f aca="false">D38*'Unit Economics'!$C$18</f>
        <v>43788236.7768</v>
      </c>
      <c r="E41" s="9" t="n">
        <f aca="false">E38*'Unit Economics'!$C$18</f>
        <v>57302192.60964</v>
      </c>
      <c r="F41" s="9" t="n">
        <f aca="false">F38*'Unit Economics'!$C$18</f>
        <v>70768585.3577052</v>
      </c>
      <c r="G41" s="9" t="n">
        <f aca="false">G38*'Unit Economics'!$C$18</f>
        <v>84214918.563509</v>
      </c>
      <c r="H41" s="9" t="n">
        <f aca="false">H38*'Unit Economics'!$C$18</f>
        <v>97668325.6079702</v>
      </c>
      <c r="I41" s="9" t="n">
        <f aca="false">I38*'Unit Economics'!$C$18</f>
        <v>111155628.419114</v>
      </c>
      <c r="J41" s="9" t="n">
        <f aca="false">J38*'Unit Economics'!$C$18</f>
        <v>124703394.853362</v>
      </c>
      <c r="K41" s="9" t="n">
        <f aca="false">K38*'Unit Economics'!$C$18</f>
        <v>138337994.880106</v>
      </c>
      <c r="L41" s="9" t="n">
        <f aca="false">L38*'Unit Economics'!$C$18</f>
        <v>152085655.696289</v>
      </c>
      <c r="M41" s="9" t="n">
        <f aca="false">M38*'Unit Economics'!$C$18</f>
        <v>165972515.89407</v>
      </c>
      <c r="N41" s="9" t="n">
        <f aca="false">N38*'Unit Economics'!$C$18</f>
        <v>180024678.801267</v>
      </c>
      <c r="O41" s="9" t="n">
        <f aca="false">O38*'Unit Economics'!$C$18</f>
        <v>194268265.111179</v>
      </c>
      <c r="P41" s="9" t="n">
        <f aca="false">P38*'Unit Economics'!$C$18</f>
        <v>208729464.915595</v>
      </c>
      <c r="Q41" s="9" t="n">
        <f aca="false">Q38*'Unit Economics'!$C$18</f>
        <v>223434589.252189</v>
      </c>
      <c r="R41" s="9" t="n">
        <f aca="false">R38*'Unit Economics'!$C$18</f>
        <v>238410121.275249</v>
      </c>
      <c r="S41" s="9" t="n">
        <f aca="false">S38*'Unit Economics'!$C$18</f>
        <v>253682767.156582</v>
      </c>
      <c r="T41" s="9" t="n">
        <f aca="false">T38*'Unit Economics'!$C$18</f>
        <v>269279506.821652</v>
      </c>
      <c r="U41" s="9" t="n">
        <f aca="false">U38*'Unit Economics'!$C$18</f>
        <v>285227644.624385</v>
      </c>
      <c r="V41" s="9" t="n">
        <f aca="false">V38*'Unit Economics'!$C$18</f>
        <v>301554860.062733</v>
      </c>
      <c r="W41" s="9" t="n">
        <f aca="false">W38*'Unit Economics'!$C$18</f>
        <v>318289258.635947</v>
      </c>
      <c r="X41" s="9" t="n">
        <f aca="false">X38*'Unit Economics'!$C$18</f>
        <v>335459422.943555</v>
      </c>
      <c r="Y41" s="9" t="n">
        <f aca="false">Y38*'Unit Economics'!$C$18</f>
        <v>353094464.125358</v>
      </c>
      <c r="Z41" s="9" t="n">
        <f aca="false">Z38*'Unit Economics'!$C$18</f>
        <v>371224073.74123</v>
      </c>
      <c r="AA41" s="9" t="n">
        <f aca="false">AA38*'Unit Economics'!$C$18</f>
        <v>389878576.189194</v>
      </c>
      <c r="AB41" s="64" t="n">
        <f aca="false">SUM(D41:O41)</f>
        <v>1420290392.57101</v>
      </c>
      <c r="AC41" s="64" t="n">
        <f aca="false">SUM(P41:AA41)</f>
        <v>3548264749.74367</v>
      </c>
      <c r="AD41" s="64" t="n">
        <f aca="false">SUM(C41:AA41)</f>
        <v>4968555142.31468</v>
      </c>
    </row>
    <row r="42" customFormat="false" ht="15" hidden="false" customHeight="false" outlineLevel="0" collapsed="false">
      <c r="A42" s="4" t="s">
        <v>690</v>
      </c>
      <c r="B42" s="2" t="s">
        <v>46</v>
      </c>
      <c r="D42" s="9" t="n">
        <f aca="false">D38*'Unit Economics'!$C$8</f>
        <v>30015000</v>
      </c>
      <c r="E42" s="9" t="n">
        <f aca="false">E38*'Unit Economics'!$C$8</f>
        <v>39278250</v>
      </c>
      <c r="F42" s="9" t="n">
        <f aca="false">F38*'Unit Economics'!$C$8</f>
        <v>48508897.5</v>
      </c>
      <c r="G42" s="9" t="n">
        <f aca="false">G38*'Unit Economics'!$C$8</f>
        <v>57725795.025</v>
      </c>
      <c r="H42" s="9" t="n">
        <f aca="false">H38*'Unit Economics'!$C$8</f>
        <v>66947541.36975</v>
      </c>
      <c r="I42" s="9" t="n">
        <f aca="false">I38*'Unit Economics'!$C$8</f>
        <v>76192521.8411025</v>
      </c>
      <c r="J42" s="9" t="n">
        <f aca="false">J38*'Unit Economics'!$C$8</f>
        <v>85478947.590481</v>
      </c>
      <c r="K42" s="9" t="n">
        <f aca="false">K38*'Unit Economics'!$C$8</f>
        <v>94824894.1260479</v>
      </c>
      <c r="L42" s="9" t="n">
        <f aca="false">L38*'Unit Economics'!$C$8</f>
        <v>104248339.09144</v>
      </c>
      <c r="M42" s="9" t="n">
        <f aca="false">M38*'Unit Economics'!$C$8</f>
        <v>113767199.39543</v>
      </c>
      <c r="N42" s="9" t="n">
        <f aca="false">N38*'Unit Economics'!$C$8</f>
        <v>123399367.774564</v>
      </c>
      <c r="O42" s="9" t="n">
        <f aca="false">O38*'Unit Economics'!$C$8</f>
        <v>133162748.868697</v>
      </c>
      <c r="P42" s="9" t="n">
        <f aca="false">P38*'Unit Economics'!$C$8</f>
        <v>143075294.887437</v>
      </c>
      <c r="Q42" s="9" t="n">
        <f aca="false">Q38*'Unit Economics'!$C$8</f>
        <v>153155040.943728</v>
      </c>
      <c r="R42" s="9" t="n">
        <f aca="false">R38*'Unit Economics'!$C$8</f>
        <v>163420140.129231</v>
      </c>
      <c r="S42" s="9" t="n">
        <f aca="false">S38*'Unit Economics'!$C$8</f>
        <v>173888898.404766</v>
      </c>
      <c r="T42" s="9" t="n">
        <f aca="false">T38*'Unit Economics'!$C$8</f>
        <v>184579809.377804</v>
      </c>
      <c r="U42" s="9" t="n">
        <f aca="false">U38*'Unit Economics'!$C$8</f>
        <v>195511589.037921</v>
      </c>
      <c r="V42" s="9" t="n">
        <f aca="false">V38*'Unit Economics'!$C$8</f>
        <v>206703210.520193</v>
      </c>
      <c r="W42" s="9" t="n">
        <f aca="false">W38*'Unit Economics'!$C$8</f>
        <v>218173938.965718</v>
      </c>
      <c r="X42" s="9" t="n">
        <f aca="false">X38*'Unit Economics'!$C$8</f>
        <v>229943366.547828</v>
      </c>
      <c r="Y42" s="9" t="n">
        <f aca="false">Y38*'Unit Economics'!$C$8</f>
        <v>242031447.732048</v>
      </c>
      <c r="Z42" s="9" t="n">
        <f aca="false">Z38*'Unit Economics'!$C$8</f>
        <v>254458534.837522</v>
      </c>
      <c r="AA42" s="9" t="n">
        <f aca="false">AA38*'Unit Economics'!$C$8</f>
        <v>267245413.967405</v>
      </c>
      <c r="AB42" s="64" t="n">
        <f aca="false">SUM(D42:O42)</f>
        <v>973549502.582512</v>
      </c>
      <c r="AC42" s="64" t="n">
        <f aca="false">SUM(P42:AA42)</f>
        <v>2432186685.3516</v>
      </c>
      <c r="AD42" s="64" t="n">
        <f aca="false">SUM(C42:AA42)</f>
        <v>3405736187.93411</v>
      </c>
    </row>
    <row r="43" customFormat="false" ht="15" hidden="false" customHeight="false" outlineLevel="0" collapsed="false">
      <c r="A43" s="4" t="s">
        <v>691</v>
      </c>
      <c r="B43" s="2" t="s">
        <v>46</v>
      </c>
      <c r="D43" s="9" t="n">
        <f aca="false">D38*'Unit Economics'!$C$47</f>
        <v>1950975</v>
      </c>
      <c r="E43" s="9" t="n">
        <f aca="false">E38*'Unit Economics'!$C$47</f>
        <v>2553086.25</v>
      </c>
      <c r="F43" s="9" t="n">
        <f aca="false">F38*'Unit Economics'!$C$47</f>
        <v>3153078.3375</v>
      </c>
      <c r="G43" s="9" t="n">
        <f aca="false">G38*'Unit Economics'!$C$47</f>
        <v>3752176.676625</v>
      </c>
      <c r="H43" s="9" t="n">
        <f aca="false">H38*'Unit Economics'!$C$47</f>
        <v>4351590.18903375</v>
      </c>
      <c r="I43" s="9" t="n">
        <f aca="false">I38*'Unit Economics'!$C$47</f>
        <v>4952513.91967166</v>
      </c>
      <c r="J43" s="9" t="n">
        <f aca="false">J38*'Unit Economics'!$C$47</f>
        <v>5556131.59338126</v>
      </c>
      <c r="K43" s="9" t="n">
        <f aca="false">K38*'Unit Economics'!$C$47</f>
        <v>6163618.11819311</v>
      </c>
      <c r="L43" s="9" t="n">
        <f aca="false">L38*'Unit Economics'!$C$47</f>
        <v>6776142.04094361</v>
      </c>
      <c r="M43" s="9" t="n">
        <f aca="false">M38*'Unit Economics'!$C$47</f>
        <v>7394867.96070298</v>
      </c>
      <c r="N43" s="9" t="n">
        <f aca="false">N38*'Unit Economics'!$C$47</f>
        <v>8020958.90534665</v>
      </c>
      <c r="O43" s="9" t="n">
        <f aca="false">O38*'Unit Economics'!$C$47</f>
        <v>8655578.67646528</v>
      </c>
      <c r="P43" s="9" t="n">
        <f aca="false">P38*'Unit Economics'!$C$47</f>
        <v>9299894.16768342</v>
      </c>
      <c r="Q43" s="9" t="n">
        <f aca="false">Q38*'Unit Economics'!$C$47</f>
        <v>9955077.66134232</v>
      </c>
      <c r="R43" s="9" t="n">
        <f aca="false">R38*'Unit Economics'!$C$47</f>
        <v>10622309.1084</v>
      </c>
      <c r="S43" s="9" t="n">
        <f aca="false">S38*'Unit Economics'!$C$47</f>
        <v>11302778.3963098</v>
      </c>
      <c r="T43" s="9" t="n">
        <f aca="false">T38*'Unit Economics'!$C$47</f>
        <v>11997687.6095572</v>
      </c>
      <c r="U43" s="9" t="n">
        <f aca="false">U38*'Unit Economics'!$C$47</f>
        <v>12708253.2874649</v>
      </c>
      <c r="V43" s="9" t="n">
        <f aca="false">V38*'Unit Economics'!$C$47</f>
        <v>13435708.6838125</v>
      </c>
      <c r="W43" s="9" t="n">
        <f aca="false">W38*'Unit Economics'!$C$47</f>
        <v>14181306.0327716</v>
      </c>
      <c r="X43" s="9" t="n">
        <f aca="false">X38*'Unit Economics'!$C$47</f>
        <v>14946318.8256088</v>
      </c>
      <c r="Y43" s="9" t="n">
        <f aca="false">Y38*'Unit Economics'!$C$47</f>
        <v>15732044.1025831</v>
      </c>
      <c r="Z43" s="9" t="n">
        <f aca="false">Z38*'Unit Economics'!$C$47</f>
        <v>16539804.7644389</v>
      </c>
      <c r="AA43" s="9" t="n">
        <f aca="false">AA38*'Unit Economics'!$C$47</f>
        <v>17370951.9078813</v>
      </c>
      <c r="AB43" s="64" t="n">
        <f aca="false">SUM(D43:O43)</f>
        <v>63280717.6678633</v>
      </c>
      <c r="AC43" s="64" t="n">
        <f aca="false">SUM(P43:AA43)</f>
        <v>158092134.547854</v>
      </c>
      <c r="AD43" s="64" t="n">
        <f aca="false">SUM(C43:AA43)</f>
        <v>221372852.215717</v>
      </c>
    </row>
    <row r="44" customFormat="false" ht="15" hidden="false" customHeight="false" outlineLevel="0" collapsed="false">
      <c r="A44" s="4" t="s">
        <v>692</v>
      </c>
      <c r="B44" s="2" t="s">
        <v>46</v>
      </c>
      <c r="D44" s="9" t="n">
        <f aca="false">-D38*IF(D$5&lt;=6,Asumsi!$D$68,Asumsi!$D$69)*'Unit Economics'!$C$13</f>
        <v>-225112.5</v>
      </c>
      <c r="E44" s="9" t="n">
        <f aca="false">-E38*IF(E$5&lt;=6,Asumsi!$D$68,Asumsi!$D$69)*'Unit Economics'!$C$13</f>
        <v>-294586.875</v>
      </c>
      <c r="F44" s="9" t="n">
        <f aca="false">-F38*IF(F$5&lt;=6,Asumsi!$D$68,Asumsi!$D$69)*'Unit Economics'!$C$13</f>
        <v>-363816.73125</v>
      </c>
      <c r="G44" s="9" t="n">
        <f aca="false">-G38*IF(G$5&lt;=6,Asumsi!$D$68,Asumsi!$D$69)*'Unit Economics'!$C$13</f>
        <v>-432943.4626875</v>
      </c>
      <c r="H44" s="9" t="n">
        <f aca="false">-H38*IF(H$5&lt;=6,Asumsi!$D$68,Asumsi!$D$69)*'Unit Economics'!$C$13</f>
        <v>-502106.560273125</v>
      </c>
      <c r="I44" s="9" t="n">
        <f aca="false">-I38*IF(I$5&lt;=6,Asumsi!$D$68,Asumsi!$D$69)*'Unit Economics'!$C$13</f>
        <v>-571443.913808269</v>
      </c>
      <c r="J44" s="9" t="n">
        <f aca="false">-J38*IF(J$5&lt;=6,Asumsi!$D$68,Asumsi!$D$69)*'Unit Economics'!$C$13</f>
        <v>-213697.368976202</v>
      </c>
      <c r="K44" s="9" t="n">
        <f aca="false">-K38*IF(K$5&lt;=6,Asumsi!$D$68,Asumsi!$D$69)*'Unit Economics'!$C$13</f>
        <v>-237062.23531512</v>
      </c>
      <c r="L44" s="9" t="n">
        <f aca="false">-L38*IF(L$5&lt;=6,Asumsi!$D$68,Asumsi!$D$69)*'Unit Economics'!$C$13</f>
        <v>-260620.8477286</v>
      </c>
      <c r="M44" s="9" t="n">
        <f aca="false">-M38*IF(M$5&lt;=6,Asumsi!$D$68,Asumsi!$D$69)*'Unit Economics'!$C$13</f>
        <v>-284417.998488576</v>
      </c>
      <c r="N44" s="9" t="n">
        <f aca="false">-N38*IF(N$5&lt;=6,Asumsi!$D$68,Asumsi!$D$69)*'Unit Economics'!$C$13</f>
        <v>-308498.419436409</v>
      </c>
      <c r="O44" s="9" t="n">
        <f aca="false">-O38*IF(O$5&lt;=6,Asumsi!$D$68,Asumsi!$D$69)*'Unit Economics'!$C$13</f>
        <v>-332906.872171742</v>
      </c>
      <c r="P44" s="9" t="n">
        <f aca="false">-P38*IF(P$5&lt;=6,Asumsi!$D$68,Asumsi!$D$69)*'Unit Economics'!$C$13</f>
        <v>-357688.237218593</v>
      </c>
      <c r="Q44" s="9" t="n">
        <f aca="false">-Q38*IF(Q$5&lt;=6,Asumsi!$D$68,Asumsi!$D$69)*'Unit Economics'!$C$13</f>
        <v>-382887.60235932</v>
      </c>
      <c r="R44" s="9" t="n">
        <f aca="false">-R38*IF(R$5&lt;=6,Asumsi!$D$68,Asumsi!$D$69)*'Unit Economics'!$C$13</f>
        <v>-408550.350323077</v>
      </c>
      <c r="S44" s="9" t="n">
        <f aca="false">-S38*IF(S$5&lt;=6,Asumsi!$D$68,Asumsi!$D$69)*'Unit Economics'!$C$13</f>
        <v>-434722.246011914</v>
      </c>
      <c r="T44" s="9" t="n">
        <f aca="false">-T38*IF(T$5&lt;=6,Asumsi!$D$68,Asumsi!$D$69)*'Unit Economics'!$C$13</f>
        <v>-461449.52344451</v>
      </c>
      <c r="U44" s="9" t="n">
        <f aca="false">-U38*IF(U$5&lt;=6,Asumsi!$D$68,Asumsi!$D$69)*'Unit Economics'!$C$13</f>
        <v>-488778.972594803</v>
      </c>
      <c r="V44" s="9" t="n">
        <f aca="false">-V38*IF(V$5&lt;=6,Asumsi!$D$68,Asumsi!$D$69)*'Unit Economics'!$C$13</f>
        <v>-516758.026300482</v>
      </c>
      <c r="W44" s="9" t="n">
        <f aca="false">-W38*IF(W$5&lt;=6,Asumsi!$D$68,Asumsi!$D$69)*'Unit Economics'!$C$13</f>
        <v>-545434.847414294</v>
      </c>
      <c r="X44" s="9" t="n">
        <f aca="false">-X38*IF(X$5&lt;=6,Asumsi!$D$68,Asumsi!$D$69)*'Unit Economics'!$C$13</f>
        <v>-574858.416369569</v>
      </c>
      <c r="Y44" s="9" t="n">
        <f aca="false">-Y38*IF(Y$5&lt;=6,Asumsi!$D$68,Asumsi!$D$69)*'Unit Economics'!$C$13</f>
        <v>-605078.61933012</v>
      </c>
      <c r="Z44" s="9" t="n">
        <f aca="false">-Z38*IF(Z$5&lt;=6,Asumsi!$D$68,Asumsi!$D$69)*'Unit Economics'!$C$13</f>
        <v>-636146.337093805</v>
      </c>
      <c r="AA44" s="9" t="n">
        <f aca="false">-AA38*IF(AA$5&lt;=6,Asumsi!$D$68,Asumsi!$D$69)*'Unit Economics'!$C$13</f>
        <v>-668113.534918512</v>
      </c>
      <c r="AB44" s="64" t="n">
        <f aca="false">SUM(D44:O44)</f>
        <v>-4027213.78513554</v>
      </c>
      <c r="AC44" s="64" t="n">
        <f aca="false">SUM(P44:AA44)</f>
        <v>-6080466.713379</v>
      </c>
      <c r="AD44" s="64" t="n">
        <f aca="false">SUM(C44:AA44)</f>
        <v>-10107680.4985145</v>
      </c>
    </row>
    <row r="45" customFormat="false" ht="15" hidden="false" customHeight="false" outlineLevel="0" collapsed="false">
      <c r="A45" s="4" t="s">
        <v>693</v>
      </c>
      <c r="B45" s="2" t="s">
        <v>46</v>
      </c>
      <c r="D45" s="36" t="n">
        <f aca="false">-D29*D30</f>
        <v>-15356.25</v>
      </c>
      <c r="E45" s="36" t="n">
        <f aca="false">-E29*E30</f>
        <v>-19876.9567675049</v>
      </c>
      <c r="F45" s="36" t="n">
        <f aca="false">-F29*F30</f>
        <v>-25632.8980292946</v>
      </c>
      <c r="G45" s="36" t="n">
        <f aca="false">-G29*G30</f>
        <v>-32373.1377333151</v>
      </c>
      <c r="H45" s="36" t="n">
        <f aca="false">-H29*H30</f>
        <v>-41041.7631217991</v>
      </c>
      <c r="I45" s="36" t="n">
        <f aca="false">-I29*I30</f>
        <v>-50499.33650019</v>
      </c>
      <c r="J45" s="36" t="n">
        <f aca="false">-J29*J30</f>
        <v>-60598.0441660357</v>
      </c>
      <c r="K45" s="36" t="n">
        <f aca="false">-K29*K30</f>
        <v>-71213.9687485742</v>
      </c>
      <c r="L45" s="36" t="n">
        <f aca="false">-L29*L30</f>
        <v>-82245.3797227136</v>
      </c>
      <c r="M45" s="36" t="n">
        <f aca="false">-M29*M30</f>
        <v>-93610.5382784184</v>
      </c>
      <c r="N45" s="36" t="n">
        <f aca="false">-N29*N30</f>
        <v>-105245.317366143</v>
      </c>
      <c r="O45" s="36" t="n">
        <f aca="false">-O29*O30</f>
        <v>-117100.841358411</v>
      </c>
      <c r="P45" s="36" t="n">
        <f aca="false">-P29*P30</f>
        <v>-129141.270520232</v>
      </c>
      <c r="Q45" s="36" t="n">
        <f aca="false">-Q29*Q30</f>
        <v>-142460.15587418</v>
      </c>
      <c r="R45" s="36" t="n">
        <f aca="false">-R29*R30</f>
        <v>-155881.566858606</v>
      </c>
      <c r="S45" s="36" t="n">
        <f aca="false">-S29*S30</f>
        <v>-169400.267803973</v>
      </c>
      <c r="T45" s="36" t="n">
        <f aca="false">-T29*T30</f>
        <v>-183017.037645154</v>
      </c>
      <c r="U45" s="36" t="n">
        <f aca="false">-U29*U30</f>
        <v>-196737.672185037</v>
      </c>
      <c r="V45" s="36" t="n">
        <f aca="false">-V29*V30</f>
        <v>-210572.145826132</v>
      </c>
      <c r="W45" s="36" t="n">
        <f aca="false">-W29*W30</f>
        <v>-224533.913047686</v>
      </c>
      <c r="X45" s="36" t="n">
        <f aca="false">-X29*X30</f>
        <v>-238639.330885957</v>
      </c>
      <c r="Y45" s="36" t="n">
        <f aca="false">-Y29*Y30</f>
        <v>-252907.185251178</v>
      </c>
      <c r="Z45" s="36" t="n">
        <f aca="false">-Z29*Z30</f>
        <v>-267358.305742788</v>
      </c>
      <c r="AA45" s="36" t="n">
        <f aca="false">-AA29*AA30</f>
        <v>-282015.255494522</v>
      </c>
      <c r="AB45" s="64" t="n">
        <f aca="false">SUM(D45:O45)</f>
        <v>-714794.4317924</v>
      </c>
      <c r="AC45" s="64" t="n">
        <f aca="false">SUM(P45:AA45)</f>
        <v>-2452664.10713544</v>
      </c>
      <c r="AD45" s="64" t="n">
        <f aca="false">SUM(C45:AA45)</f>
        <v>-3167458.53892784</v>
      </c>
    </row>
    <row r="46" customFormat="false" ht="15" hidden="false" customHeight="false" outlineLevel="0" collapsed="false">
      <c r="A46" s="4" t="s">
        <v>694</v>
      </c>
      <c r="B46" s="2" t="s">
        <v>46</v>
      </c>
      <c r="D46" s="9" t="n">
        <f aca="false">-D19*Asumsi!$D$100*Asumsi!$D$101*MIN(Asumsi!$D$99,Asumsi!$D$94/Asumsi!$D$98)*Asumsi!$D$102</f>
        <v>-30000</v>
      </c>
      <c r="E46" s="9" t="n">
        <f aca="false">-E19*Asumsi!$D$100*Asumsi!$D$101*MIN(Asumsi!$D$99,Asumsi!$D$94/Asumsi!$D$98)*Asumsi!$D$102</f>
        <v>-31200</v>
      </c>
      <c r="F46" s="9" t="n">
        <f aca="false">-F19*Asumsi!$D$100*Asumsi!$D$101*MIN(Asumsi!$D$99,Asumsi!$D$94/Asumsi!$D$98)*Asumsi!$D$102</f>
        <v>-32448</v>
      </c>
      <c r="G46" s="9" t="n">
        <f aca="false">-G19*Asumsi!$D$100*Asumsi!$D$101*MIN(Asumsi!$D$99,Asumsi!$D$94/Asumsi!$D$98)*Asumsi!$D$102</f>
        <v>-33745.92</v>
      </c>
      <c r="H46" s="9" t="n">
        <f aca="false">-H19*Asumsi!$D$100*Asumsi!$D$101*MIN(Asumsi!$D$99,Asumsi!$D$94/Asumsi!$D$98)*Asumsi!$D$102</f>
        <v>-35095.7568</v>
      </c>
      <c r="I46" s="9" t="n">
        <f aca="false">-I19*Asumsi!$D$100*Asumsi!$D$101*MIN(Asumsi!$D$99,Asumsi!$D$94/Asumsi!$D$98)*Asumsi!$D$102</f>
        <v>-36499.587072</v>
      </c>
      <c r="J46" s="9" t="n">
        <f aca="false">-J19*Asumsi!$D$100*Asumsi!$D$101*MIN(Asumsi!$D$99,Asumsi!$D$94/Asumsi!$D$98)*Asumsi!$D$102</f>
        <v>-37959.57055488</v>
      </c>
      <c r="K46" s="9" t="n">
        <f aca="false">-K19*Asumsi!$D$100*Asumsi!$D$101*MIN(Asumsi!$D$99,Asumsi!$D$94/Asumsi!$D$98)*Asumsi!$D$102</f>
        <v>-39477.9533770752</v>
      </c>
      <c r="L46" s="9" t="n">
        <f aca="false">-L19*Asumsi!$D$100*Asumsi!$D$101*MIN(Asumsi!$D$99,Asumsi!$D$94/Asumsi!$D$98)*Asumsi!$D$102</f>
        <v>-41057.0715121582</v>
      </c>
      <c r="M46" s="9" t="n">
        <f aca="false">-M19*Asumsi!$D$100*Asumsi!$D$101*MIN(Asumsi!$D$99,Asumsi!$D$94/Asumsi!$D$98)*Asumsi!$D$102</f>
        <v>-42699.3543726446</v>
      </c>
      <c r="N46" s="9" t="n">
        <f aca="false">-N19*Asumsi!$D$100*Asumsi!$D$101*MIN(Asumsi!$D$99,Asumsi!$D$94/Asumsi!$D$98)*Asumsi!$D$102</f>
        <v>-44407.3285475503</v>
      </c>
      <c r="O46" s="9" t="n">
        <f aca="false">-O19*Asumsi!$D$100*Asumsi!$D$101*MIN(Asumsi!$D$99,Asumsi!$D$94/Asumsi!$D$98)*Asumsi!$D$102</f>
        <v>-46183.6216894523</v>
      </c>
      <c r="P46" s="9" t="n">
        <f aca="false">-P19*Asumsi!$D$100*Asumsi!$D$101*MIN(Asumsi!$D$99,Asumsi!$D$94/Asumsi!$D$98)*Asumsi!$D$102</f>
        <v>-48030.9665570305</v>
      </c>
      <c r="Q46" s="9" t="n">
        <f aca="false">-Q19*Asumsi!$D$100*Asumsi!$D$101*MIN(Asumsi!$D$99,Asumsi!$D$94/Asumsi!$D$98)*Asumsi!$D$102</f>
        <v>-49952.2052193117</v>
      </c>
      <c r="R46" s="9" t="n">
        <f aca="false">-R19*Asumsi!$D$100*Asumsi!$D$101*MIN(Asumsi!$D$99,Asumsi!$D$94/Asumsi!$D$98)*Asumsi!$D$102</f>
        <v>-51950.2934280841</v>
      </c>
      <c r="S46" s="9" t="n">
        <f aca="false">-S19*Asumsi!$D$100*Asumsi!$D$101*MIN(Asumsi!$D$99,Asumsi!$D$94/Asumsi!$D$98)*Asumsi!$D$102</f>
        <v>-54028.3051652075</v>
      </c>
      <c r="T46" s="9" t="n">
        <f aca="false">-T19*Asumsi!$D$100*Asumsi!$D$101*MIN(Asumsi!$D$99,Asumsi!$D$94/Asumsi!$D$98)*Asumsi!$D$102</f>
        <v>-56189.4373718158</v>
      </c>
      <c r="U46" s="9" t="n">
        <f aca="false">-U19*Asumsi!$D$100*Asumsi!$D$101*MIN(Asumsi!$D$99,Asumsi!$D$94/Asumsi!$D$98)*Asumsi!$D$102</f>
        <v>-58437.0148666884</v>
      </c>
      <c r="V46" s="9" t="n">
        <f aca="false">-V19*Asumsi!$D$100*Asumsi!$D$101*MIN(Asumsi!$D$99,Asumsi!$D$94/Asumsi!$D$98)*Asumsi!$D$102</f>
        <v>-60774.495461356</v>
      </c>
      <c r="W46" s="9" t="n">
        <f aca="false">-W19*Asumsi!$D$100*Asumsi!$D$101*MIN(Asumsi!$D$99,Asumsi!$D$94/Asumsi!$D$98)*Asumsi!$D$102</f>
        <v>-63205.4752798102</v>
      </c>
      <c r="X46" s="9" t="n">
        <f aca="false">-X19*Asumsi!$D$100*Asumsi!$D$101*MIN(Asumsi!$D$99,Asumsi!$D$94/Asumsi!$D$98)*Asumsi!$D$102</f>
        <v>-65733.6942910026</v>
      </c>
      <c r="Y46" s="9" t="n">
        <f aca="false">-Y19*Asumsi!$D$100*Asumsi!$D$101*MIN(Asumsi!$D$99,Asumsi!$D$94/Asumsi!$D$98)*Asumsi!$D$102</f>
        <v>-68363.0420626427</v>
      </c>
      <c r="Z46" s="9" t="n">
        <f aca="false">-Z19*Asumsi!$D$100*Asumsi!$D$101*MIN(Asumsi!$D$99,Asumsi!$D$94/Asumsi!$D$98)*Asumsi!$D$102</f>
        <v>-71097.5637451484</v>
      </c>
      <c r="AA46" s="9" t="n">
        <f aca="false">-AA19*Asumsi!$D$100*Asumsi!$D$101*MIN(Asumsi!$D$99,Asumsi!$D$94/Asumsi!$D$98)*Asumsi!$D$102</f>
        <v>-73941.4662949544</v>
      </c>
      <c r="AB46" s="64" t="n">
        <f aca="false">SUM(D46:O46)</f>
        <v>-450774.163925761</v>
      </c>
      <c r="AC46" s="64" t="n">
        <f aca="false">SUM(P46:AA46)</f>
        <v>-721703.959743052</v>
      </c>
      <c r="AD46" s="64" t="n">
        <f aca="false">SUM(C46:AA46)</f>
        <v>-1172478.12366881</v>
      </c>
    </row>
    <row r="47" customFormat="false" ht="15" hidden="false" customHeight="false" outlineLevel="0" collapsed="false">
      <c r="A47" s="25" t="s">
        <v>695</v>
      </c>
      <c r="B47" s="2" t="s">
        <v>46</v>
      </c>
      <c r="C47" s="64" t="n">
        <f aca="false">SUM(C43:C46)</f>
        <v>0</v>
      </c>
      <c r="D47" s="64" t="n">
        <f aca="false">SUM(D43:D46)</f>
        <v>1680506.25</v>
      </c>
      <c r="E47" s="64" t="n">
        <f aca="false">SUM(E43:E46)</f>
        <v>2207422.4182325</v>
      </c>
      <c r="F47" s="64" t="n">
        <f aca="false">SUM(F43:F46)</f>
        <v>2731180.70822071</v>
      </c>
      <c r="G47" s="64" t="n">
        <f aca="false">SUM(G43:G46)</f>
        <v>3253114.15620418</v>
      </c>
      <c r="H47" s="64" t="n">
        <f aca="false">SUM(H43:H46)</f>
        <v>3773346.10883882</v>
      </c>
      <c r="I47" s="64" t="n">
        <f aca="false">SUM(I43:I46)</f>
        <v>4294071.0822912</v>
      </c>
      <c r="J47" s="64" t="n">
        <f aca="false">SUM(J43:J46)</f>
        <v>5243876.60968415</v>
      </c>
      <c r="K47" s="64" t="n">
        <f aca="false">SUM(K43:K46)</f>
        <v>5815863.96075234</v>
      </c>
      <c r="L47" s="64" t="n">
        <f aca="false">SUM(L43:L46)</f>
        <v>6392218.74198013</v>
      </c>
      <c r="M47" s="64" t="n">
        <f aca="false">SUM(M43:M46)</f>
        <v>6974140.06956334</v>
      </c>
      <c r="N47" s="64" t="n">
        <f aca="false">SUM(N43:N46)</f>
        <v>7562807.83999654</v>
      </c>
      <c r="O47" s="64" t="n">
        <f aca="false">SUM(O43:O46)</f>
        <v>8159387.34124567</v>
      </c>
      <c r="P47" s="64" t="n">
        <f aca="false">SUM(P43:P46)</f>
        <v>8765033.69338757</v>
      </c>
      <c r="Q47" s="64" t="n">
        <f aca="false">SUM(Q43:Q46)</f>
        <v>9379777.69788951</v>
      </c>
      <c r="R47" s="64" t="n">
        <f aca="false">SUM(R43:R46)</f>
        <v>10005926.8977902</v>
      </c>
      <c r="S47" s="64" t="n">
        <f aca="false">SUM(S43:S46)</f>
        <v>10644627.5773287</v>
      </c>
      <c r="T47" s="64" t="n">
        <f aca="false">SUM(T43:T46)</f>
        <v>11297031.6110958</v>
      </c>
      <c r="U47" s="64" t="n">
        <f aca="false">SUM(U43:U46)</f>
        <v>11964299.6278183</v>
      </c>
      <c r="V47" s="64" t="n">
        <f aca="false">SUM(V43:V46)</f>
        <v>12647604.0162246</v>
      </c>
      <c r="W47" s="64" t="n">
        <f aca="false">SUM(W43:W46)</f>
        <v>13348131.7970299</v>
      </c>
      <c r="X47" s="64" t="n">
        <f aca="false">SUM(X43:X46)</f>
        <v>14067087.3840623</v>
      </c>
      <c r="Y47" s="64" t="n">
        <f aca="false">SUM(Y43:Y46)</f>
        <v>14805695.2559392</v>
      </c>
      <c r="Z47" s="64" t="n">
        <f aca="false">SUM(Z43:Z46)</f>
        <v>15565202.5578572</v>
      </c>
      <c r="AA47" s="64" t="n">
        <f aca="false">SUM(AA43:AA46)</f>
        <v>16346881.6511733</v>
      </c>
      <c r="AB47" s="64" t="n">
        <f aca="false">SUM(D47:O47)</f>
        <v>58087935.2870096</v>
      </c>
      <c r="AC47" s="64" t="n">
        <f aca="false">SUM(P47:AA47)</f>
        <v>148837299.767596</v>
      </c>
      <c r="AD47" s="64" t="n">
        <f aca="false">SUM(C47:AA47)</f>
        <v>206925235.054606</v>
      </c>
    </row>
    <row r="48" customFormat="false" ht="15" hidden="false" customHeight="false" outlineLevel="0" collapsed="false">
      <c r="A48" s="4" t="s">
        <v>696</v>
      </c>
      <c r="B48" s="2" t="s">
        <v>25</v>
      </c>
      <c r="D48" s="38" t="n">
        <f aca="false">IF(D41&gt;0,D43/D41,0)</f>
        <v>0.0445547741496107</v>
      </c>
      <c r="E48" s="38" t="n">
        <f aca="false">IF(E41&gt;0,E43/E41,0)</f>
        <v>0.0445547741496107</v>
      </c>
      <c r="F48" s="38" t="n">
        <f aca="false">IF(F41&gt;0,F43/F41,0)</f>
        <v>0.0445547741496107</v>
      </c>
      <c r="G48" s="38" t="n">
        <f aca="false">IF(G41&gt;0,G43/G41,0)</f>
        <v>0.0445547741496107</v>
      </c>
      <c r="H48" s="38" t="n">
        <f aca="false">IF(H41&gt;0,H43/H41,0)</f>
        <v>0.0445547741496107</v>
      </c>
      <c r="I48" s="38" t="n">
        <f aca="false">IF(I41&gt;0,I43/I41,0)</f>
        <v>0.0445547741496107</v>
      </c>
      <c r="J48" s="38" t="n">
        <f aca="false">IF(J41&gt;0,J43/J41,0)</f>
        <v>0.0445547741496107</v>
      </c>
      <c r="K48" s="38" t="n">
        <f aca="false">IF(K41&gt;0,K43/K41,0)</f>
        <v>0.0445547741496107</v>
      </c>
      <c r="L48" s="38" t="n">
        <f aca="false">IF(L41&gt;0,L43/L41,0)</f>
        <v>0.0445547741496107</v>
      </c>
      <c r="M48" s="38" t="n">
        <f aca="false">IF(M41&gt;0,M43/M41,0)</f>
        <v>0.0445547741496107</v>
      </c>
      <c r="N48" s="38" t="n">
        <f aca="false">IF(N41&gt;0,N43/N41,0)</f>
        <v>0.0445547741496107</v>
      </c>
      <c r="O48" s="38" t="n">
        <f aca="false">IF(O41&gt;0,O43/O41,0)</f>
        <v>0.0445547741496107</v>
      </c>
      <c r="P48" s="38" t="n">
        <f aca="false">IF(P41&gt;0,P43/P41,0)</f>
        <v>0.0445547741496107</v>
      </c>
      <c r="Q48" s="38" t="n">
        <f aca="false">IF(Q41&gt;0,Q43/Q41,0)</f>
        <v>0.0445547741496107</v>
      </c>
      <c r="R48" s="38" t="n">
        <f aca="false">IF(R41&gt;0,R43/R41,0)</f>
        <v>0.0445547741496107</v>
      </c>
      <c r="S48" s="38" t="n">
        <f aca="false">IF(S41&gt;0,S43/S41,0)</f>
        <v>0.0445547741496107</v>
      </c>
      <c r="T48" s="38" t="n">
        <f aca="false">IF(T41&gt;0,T43/T41,0)</f>
        <v>0.0445547741496107</v>
      </c>
      <c r="U48" s="38" t="n">
        <f aca="false">IF(U41&gt;0,U43/U41,0)</f>
        <v>0.0445547741496107</v>
      </c>
      <c r="V48" s="38" t="n">
        <f aca="false">IF(V41&gt;0,V43/V41,0)</f>
        <v>0.0445547741496107</v>
      </c>
      <c r="W48" s="38" t="n">
        <f aca="false">IF(W41&gt;0,W43/W41,0)</f>
        <v>0.0445547741496107</v>
      </c>
      <c r="X48" s="38" t="n">
        <f aca="false">IF(X41&gt;0,X43/X41,0)</f>
        <v>0.0445547741496107</v>
      </c>
      <c r="Y48" s="38" t="n">
        <f aca="false">IF(Y41&gt;0,Y43/Y41,0)</f>
        <v>0.0445547741496107</v>
      </c>
      <c r="Z48" s="38" t="n">
        <f aca="false">IF(Z41&gt;0,Z43/Z41,0)</f>
        <v>0.0445547741496107</v>
      </c>
      <c r="AA48" s="38" t="n">
        <f aca="false">IF(AA41&gt;0,AA43/AA41,0)</f>
        <v>0.0445547741496107</v>
      </c>
      <c r="AB48" s="66" t="n">
        <f aca="false">IF(AB41&gt;0,AB43/AB41,0)</f>
        <v>0.0445547741496107</v>
      </c>
      <c r="AC48" s="66" t="n">
        <f aca="false">IF(AC41&gt;0,AC43/AC41,0)</f>
        <v>0.0445547741496107</v>
      </c>
      <c r="AD48" s="66" t="n">
        <f aca="false">IF(AD41&gt;0,AD43/AD41,0)</f>
        <v>0.0445547741496107</v>
      </c>
    </row>
    <row r="49" customFormat="false" ht="15" hidden="false" customHeight="false" outlineLevel="0" collapsed="false">
      <c r="A49" s="4" t="s">
        <v>569</v>
      </c>
      <c r="B49" s="2" t="s">
        <v>25</v>
      </c>
      <c r="D49" s="38" t="n">
        <f aca="false">IF(D41&gt;0,D47/D41,0)</f>
        <v>0.038378029665044</v>
      </c>
      <c r="E49" s="38" t="n">
        <f aca="false">IF(E41&gt;0,E47/E41,0)</f>
        <v>0.0385224773730759</v>
      </c>
      <c r="F49" s="38" t="n">
        <f aca="false">IF(F41&gt;0,F47/F41,0)</f>
        <v>0.0385931228442076</v>
      </c>
      <c r="G49" s="38" t="n">
        <f aca="false">IF(G41&gt;0,G47/G41,0)</f>
        <v>0.0386287158106187</v>
      </c>
      <c r="H49" s="38" t="n">
        <f aca="false">IF(H41&gt;0,H47/H41,0)</f>
        <v>0.0386342868616855</v>
      </c>
      <c r="I49" s="38" t="n">
        <f aca="false">IF(I41&gt;0,I47/I41,0)</f>
        <v>0.0386311619426085</v>
      </c>
      <c r="J49" s="38" t="n">
        <f aca="false">IF(J41&gt;0,J47/J41,0)</f>
        <v>0.0420507927298242</v>
      </c>
      <c r="K49" s="38" t="n">
        <f aca="false">IF(K41&gt;0,K47/K41,0)</f>
        <v>0.0420409733840136</v>
      </c>
      <c r="L49" s="38" t="n">
        <f aca="false">IF(L41&gt;0,L47/L41,0)</f>
        <v>0.0420303855265958</v>
      </c>
      <c r="M49" s="38" t="n">
        <f aca="false">IF(M41&gt;0,M47/M41,0)</f>
        <v>0.0420198490816063</v>
      </c>
      <c r="N49" s="38" t="n">
        <f aca="false">IF(N41&gt;0,N47/N41,0)</f>
        <v>0.0420098393751075</v>
      </c>
      <c r="O49" s="38" t="n">
        <f aca="false">IF(O41&gt;0,O47/O41,0)</f>
        <v>0.042000618765891</v>
      </c>
      <c r="P49" s="38" t="n">
        <f aca="false">IF(P41&gt;0,P47/P41,0)</f>
        <v>0.0419923162114746</v>
      </c>
      <c r="Q49" s="38" t="n">
        <f aca="false">IF(Q41&gt;0,Q47/Q41,0)</f>
        <v>0.0419799715401388</v>
      </c>
      <c r="R49" s="38" t="n">
        <f aca="false">IF(R41&gt;0,R47/R41,0)</f>
        <v>0.0419693880623391</v>
      </c>
      <c r="S49" s="38" t="n">
        <f aca="false">IF(S41&gt;0,S47/S41,0)</f>
        <v>0.0419603889402485</v>
      </c>
      <c r="T49" s="38" t="n">
        <f aca="false">IF(T41&gt;0,T47/T41,0)</f>
        <v>0.0419528086055875</v>
      </c>
      <c r="U49" s="38" t="n">
        <f aca="false">IF(U41&gt;0,U47/U41,0)</f>
        <v>0.0419464938034814</v>
      </c>
      <c r="V49" s="38" t="n">
        <f aca="false">IF(V41&gt;0,V47/V41,0)</f>
        <v>0.0419413038595811</v>
      </c>
      <c r="W49" s="38" t="n">
        <f aca="false">IF(W41&gt;0,W47/W41,0)</f>
        <v>0.0419371104580603</v>
      </c>
      <c r="X49" s="38" t="n">
        <f aca="false">IF(X41&gt;0,X47/X41,0)</f>
        <v>0.0419337971210582</v>
      </c>
      <c r="Y49" s="38" t="n">
        <f aca="false">IF(Y41&gt;0,Y47/Y41,0)</f>
        <v>0.0419312585163691</v>
      </c>
      <c r="Z49" s="38" t="n">
        <f aca="false">IF(Z41&gt;0,Z47/Z41,0)</f>
        <v>0.0419293996776385</v>
      </c>
      <c r="AA49" s="38" t="n">
        <f aca="false">IF(AA41&gt;0,AA47/AA41,0)</f>
        <v>0.0419281351926369</v>
      </c>
      <c r="AB49" s="66" t="n">
        <f aca="false">IF(AB41&gt;0,AB47/AB41,0)</f>
        <v>0.0408986328365277</v>
      </c>
      <c r="AC49" s="66" t="n">
        <f aca="false">IF(AC41&gt;0,AC47/AC41,0)</f>
        <v>0.0419465035066362</v>
      </c>
      <c r="AD49" s="66" t="n">
        <f aca="false">IF(AD41&gt;0,AD47/AD41,0)</f>
        <v>0.0416469635794777</v>
      </c>
    </row>
    <row r="50" customFormat="false" ht="15" hidden="false" customHeight="false" outlineLevel="0" collapsed="false">
      <c r="A50" s="4" t="s">
        <v>697</v>
      </c>
      <c r="B50" s="2" t="s">
        <v>698</v>
      </c>
      <c r="D50" s="36" t="n">
        <f aca="false">IF(D38&gt;0,-(D45+D46)/D38,0)</f>
        <v>2266.67916041979</v>
      </c>
      <c r="E50" s="36" t="n">
        <f aca="false">IF(E38&gt;0,-(E45+E46)/E38,0)</f>
        <v>1950.58168709801</v>
      </c>
      <c r="F50" s="36" t="n">
        <f aca="false">IF(F38&gt;0,-(F45+F46)/F38,0)</f>
        <v>1795.98695360871</v>
      </c>
      <c r="G50" s="36" t="n">
        <f aca="false">IF(G38&gt;0,-(G45+G46)/G38,0)</f>
        <v>1718.09823592763</v>
      </c>
      <c r="H50" s="36" t="n">
        <f aca="false">IF(H38&gt;0,-(H45+H46)/H38,0)</f>
        <v>1705.9070063819</v>
      </c>
      <c r="I50" s="36" t="n">
        <f aca="false">IF(I38&gt;0,-(I45+I46)/I38,0)</f>
        <v>1712.74532204664</v>
      </c>
      <c r="J50" s="36" t="n">
        <f aca="false">IF(J38&gt;0,-(J45+J46)/J38,0)</f>
        <v>1729.50681131031</v>
      </c>
      <c r="K50" s="36" t="n">
        <f aca="false">IF(K38&gt;0,-(K45+K46)/K38,0)</f>
        <v>1750.99465935353</v>
      </c>
      <c r="L50" s="36" t="n">
        <f aca="false">IF(L38&gt;0,-(L45+L46)/L38,0)</f>
        <v>1774.16425493434</v>
      </c>
      <c r="M50" s="36" t="n">
        <f aca="false">IF(M38&gt;0,-(M45+M46)/M38,0)</f>
        <v>1797.22134378925</v>
      </c>
      <c r="N50" s="36" t="n">
        <f aca="false">IF(N38&gt;0,-(N45+N46)/N38,0)</f>
        <v>1819.12576149205</v>
      </c>
      <c r="O50" s="36" t="n">
        <f aca="false">IF(O38&gt;0,-(O45+O46)/O38,0)</f>
        <v>1839.30338366101</v>
      </c>
      <c r="P50" s="36" t="n">
        <f aca="false">IF(P38&gt;0,-(P45+P46)/P38,0)</f>
        <v>1857.47201027945</v>
      </c>
      <c r="Q50" s="36" t="n">
        <f aca="false">IF(Q38&gt;0,-(Q45+Q46)/Q38,0)</f>
        <v>1884.48607281742</v>
      </c>
      <c r="R50" s="36" t="n">
        <f aca="false">IF(R38&gt;0,-(R45+R46)/R38,0)</f>
        <v>1907.64608440251</v>
      </c>
      <c r="S50" s="36" t="n">
        <f aca="false">IF(S38&gt;0,-(S45+S46)/S38,0)</f>
        <v>1927.33902237767</v>
      </c>
      <c r="T50" s="36" t="n">
        <f aca="false">IF(T38&gt;0,-(T45+T46)/T38,0)</f>
        <v>1943.92720273663</v>
      </c>
      <c r="U50" s="36" t="n">
        <f aca="false">IF(U38&gt;0,-(U45+U46)/U38,0)</f>
        <v>1957.74599583122</v>
      </c>
      <c r="V50" s="36" t="n">
        <f aca="false">IF(V38&gt;0,-(V45+V46)/V38,0)</f>
        <v>1969.10324182638</v>
      </c>
      <c r="W50" s="36" t="n">
        <f aca="false">IF(W38&gt;0,-(W45+W46)/W38,0)</f>
        <v>1978.27973651365</v>
      </c>
      <c r="X50" s="36" t="n">
        <f aca="false">IF(X38&gt;0,-(X45+X46)/X38,0)</f>
        <v>1985.53037045527</v>
      </c>
      <c r="Y50" s="36" t="n">
        <f aca="false">IF(Y38&gt;0,-(Y45+Y46)/Y38,0)</f>
        <v>1991.08564397898</v>
      </c>
      <c r="Z50" s="36" t="n">
        <f aca="false">IF(Z38&gt;0,-(Z45+Z46)/Z38,0)</f>
        <v>1995.15337363737</v>
      </c>
      <c r="AA50" s="36" t="n">
        <f aca="false">IF(AA38&gt;0,-(AA45+AA46)/AA38,0)</f>
        <v>1997.92046852238</v>
      </c>
      <c r="AB50" s="64" t="n">
        <f aca="false">IF(AB38&gt;0,-(AB45+AB46)/AB38,0)</f>
        <v>1795.85412856709</v>
      </c>
      <c r="AC50" s="64" t="n">
        <f aca="false">IF(AC38&gt;0,-(AC45+AC46)/AC38,0)</f>
        <v>1957.72476224596</v>
      </c>
      <c r="AD50" s="64" t="n">
        <f aca="false">IF(AD38&gt;0,-(AD45+AD46)/AD38,0)</f>
        <v>1911.45309990785</v>
      </c>
    </row>
    <row r="51" customFormat="false" ht="15" hidden="false" customHeight="false" outlineLevel="0" collapsed="false">
      <c r="A51" s="7" t="s">
        <v>699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15" hidden="false" customHeight="false" outlineLevel="0" collapsed="false">
      <c r="A52" s="4" t="s">
        <v>700</v>
      </c>
      <c r="B52" s="2" t="s">
        <v>46</v>
      </c>
      <c r="D52" s="9" t="n">
        <f aca="false">D38*'Unit Economics'!$C$35</f>
        <v>292902.378</v>
      </c>
      <c r="E52" s="9" t="n">
        <f aca="false">E38*'Unit Economics'!$C$35</f>
        <v>383298.1119</v>
      </c>
      <c r="F52" s="9" t="n">
        <f aca="false">F38*'Unit Economics'!$C$35</f>
        <v>473375.693217</v>
      </c>
      <c r="G52" s="9" t="n">
        <f aca="false">G38*'Unit Economics'!$C$35</f>
        <v>563319.09494463</v>
      </c>
      <c r="H52" s="9" t="n">
        <f aca="false">H38*'Unit Economics'!$C$35</f>
        <v>653309.814041418</v>
      </c>
      <c r="I52" s="9" t="n">
        <f aca="false">I38*'Unit Economics'!$C$35</f>
        <v>743527.264137127</v>
      </c>
      <c r="J52" s="9" t="n">
        <f aca="false">J38*'Unit Economics'!$C$35</f>
        <v>834149.159359962</v>
      </c>
      <c r="K52" s="9" t="n">
        <f aca="false">K38*'Unit Economics'!$C$35</f>
        <v>925351.890158843</v>
      </c>
      <c r="L52" s="9" t="n">
        <f aca="false">L38*'Unit Economics'!$C$35</f>
        <v>1017310.89196845</v>
      </c>
      <c r="M52" s="9" t="n">
        <f aca="false">M38*'Unit Economics'!$C$35</f>
        <v>1110201.00754029</v>
      </c>
      <c r="N52" s="9" t="n">
        <f aca="false">N38*'Unit Economics'!$C$35</f>
        <v>1204196.84374034</v>
      </c>
      <c r="O52" s="9" t="n">
        <f aca="false">O38*'Unit Economics'!$C$35</f>
        <v>1299473.12359347</v>
      </c>
      <c r="P52" s="9" t="n">
        <f aca="false">P38*'Unit Economics'!$C$35</f>
        <v>1396205.03433555</v>
      </c>
      <c r="Q52" s="9" t="n">
        <f aca="false">Q38*'Unit Economics'!$C$35</f>
        <v>1494568.5722174</v>
      </c>
      <c r="R52" s="9" t="n">
        <f aca="false">R38*'Unit Economics'!$C$35</f>
        <v>1594740.8847891</v>
      </c>
      <c r="S52" s="9" t="n">
        <f aca="false">S38*'Unit Economics'!$C$35</f>
        <v>1696900.61137952</v>
      </c>
      <c r="T52" s="9" t="n">
        <f aca="false">T38*'Unit Economics'!$C$35</f>
        <v>1801228.22247361</v>
      </c>
      <c r="U52" s="9" t="n">
        <f aca="false">U38*'Unit Economics'!$C$35</f>
        <v>1907906.35867952</v>
      </c>
      <c r="V52" s="9" t="n">
        <f aca="false">V38*'Unit Economics'!$C$35</f>
        <v>2017120.16996832</v>
      </c>
      <c r="W52" s="9" t="n">
        <f aca="false">W38*'Unit Economics'!$C$35</f>
        <v>2129057.65586159</v>
      </c>
      <c r="X52" s="9" t="n">
        <f aca="false">X38*'Unit Economics'!$C$35</f>
        <v>2243910.00723586</v>
      </c>
      <c r="Y52" s="9" t="n">
        <f aca="false">Y38*'Unit Economics'!$C$35</f>
        <v>2361871.95040812</v>
      </c>
      <c r="Z52" s="9" t="n">
        <f aca="false">Z38*'Unit Economics'!$C$35</f>
        <v>2483142.09416312</v>
      </c>
      <c r="AA52" s="9" t="n">
        <f aca="false">AA38*'Unit Economics'!$C$35</f>
        <v>2607923.28038139</v>
      </c>
      <c r="AB52" s="64" t="n">
        <f aca="false">SUM(D52:O52)</f>
        <v>9500415.27260153</v>
      </c>
      <c r="AC52" s="64" t="n">
        <f aca="false">SUM(P52:AA52)</f>
        <v>23734574.8418931</v>
      </c>
      <c r="AD52" s="64" t="n">
        <f aca="false">SUM(C52:AA52)</f>
        <v>33234990.1144946</v>
      </c>
    </row>
    <row r="53" customFormat="false" ht="15" hidden="false" customHeight="false" outlineLevel="0" collapsed="false">
      <c r="A53" s="4" t="s">
        <v>701</v>
      </c>
      <c r="B53" s="2" t="s">
        <v>46</v>
      </c>
      <c r="D53" s="9" t="n">
        <f aca="false">-D38*'Unit Economics'!$C$52</f>
        <v>547513.62</v>
      </c>
      <c r="E53" s="9" t="n">
        <f aca="false">-E38*'Unit Economics'!$C$52</f>
        <v>716487.651</v>
      </c>
      <c r="F53" s="9" t="n">
        <f aca="false">-F38*'Unit Economics'!$C$52</f>
        <v>884866.96893</v>
      </c>
      <c r="G53" s="9" t="n">
        <f aca="false">-G38*'Unit Economics'!$C$52</f>
        <v>1052995.4689827</v>
      </c>
      <c r="H53" s="9" t="n">
        <f aca="false">-H38*'Unit Economics'!$C$52</f>
        <v>1221212.41797273</v>
      </c>
      <c r="I53" s="9" t="n">
        <f aca="false">-I38*'Unit Economics'!$C$52</f>
        <v>1389853.18841083</v>
      </c>
      <c r="J53" s="9" t="n">
        <f aca="false">-J38*'Unit Economics'!$C$52</f>
        <v>1559249.97598049</v>
      </c>
      <c r="K53" s="9" t="n">
        <f aca="false">-K38*'Unit Economics'!$C$52</f>
        <v>1729732.50205128</v>
      </c>
      <c r="L53" s="9" t="n">
        <f aca="false">-L38*'Unit Economics'!$C$52</f>
        <v>1901628.70281332</v>
      </c>
      <c r="M53" s="9" t="n">
        <f aca="false">-M38*'Unit Economics'!$C$52</f>
        <v>2075265.40657184</v>
      </c>
      <c r="N53" s="9" t="n">
        <f aca="false">-N38*'Unit Economics'!$C$52</f>
        <v>2250969.00069841</v>
      </c>
      <c r="O53" s="9" t="n">
        <f aca="false">-O38*'Unit Economics'!$C$52</f>
        <v>2429066.08969685</v>
      </c>
      <c r="P53" s="9" t="n">
        <f aca="false">-P38*'Unit Economics'!$C$52</f>
        <v>2609884.14580671</v>
      </c>
      <c r="Q53" s="9" t="n">
        <f aca="false">-Q38*'Unit Economics'!$C$52</f>
        <v>2793752.15353486</v>
      </c>
      <c r="R53" s="9" t="n">
        <f aca="false">-R38*'Unit Economics'!$C$52</f>
        <v>2981001.24947734</v>
      </c>
      <c r="S53" s="9" t="n">
        <f aca="false">-S38*'Unit Economics'!$C$52</f>
        <v>3171965.35876746</v>
      </c>
      <c r="T53" s="9" t="n">
        <f aca="false">-T38*'Unit Economics'!$C$52</f>
        <v>3366981.82946365</v>
      </c>
      <c r="U53" s="9" t="n">
        <f aca="false">-U38*'Unit Economics'!$C$52</f>
        <v>3566392.0661704</v>
      </c>
      <c r="V53" s="9" t="n">
        <f aca="false">-V38*'Unit Economics'!$C$52</f>
        <v>3770542.16416901</v>
      </c>
      <c r="W53" s="9" t="n">
        <f aca="false">-W38*'Unit Economics'!$C$52</f>
        <v>3979783.54531998</v>
      </c>
      <c r="X53" s="9" t="n">
        <f aca="false">-X38*'Unit Economics'!$C$52</f>
        <v>4194473.59698777</v>
      </c>
      <c r="Y53" s="9" t="n">
        <f aca="false">-Y38*'Unit Economics'!$C$52</f>
        <v>4414976.31522953</v>
      </c>
      <c r="Z53" s="9" t="n">
        <f aca="false">-Z38*'Unit Economics'!$C$52</f>
        <v>4641662.95348285</v>
      </c>
      <c r="AA53" s="9" t="n">
        <f aca="false">-AA38*'Unit Economics'!$C$52</f>
        <v>4874912.67798409</v>
      </c>
      <c r="AB53" s="64" t="n">
        <f aca="false">SUM(D53:O53)</f>
        <v>17758840.9931085</v>
      </c>
      <c r="AC53" s="64" t="n">
        <f aca="false">SUM(P53:AA53)</f>
        <v>44366328.0563936</v>
      </c>
      <c r="AD53" s="64" t="n">
        <f aca="false">SUM(C53:AA53)</f>
        <v>62125169.0495021</v>
      </c>
    </row>
    <row r="54" customFormat="false" ht="15" hidden="false" customHeight="false" outlineLevel="0" collapsed="false">
      <c r="A54" s="4" t="s">
        <v>702</v>
      </c>
      <c r="B54" s="2" t="s">
        <v>46</v>
      </c>
      <c r="D54" s="9" t="n">
        <f aca="false">-D38*'Unit Economics'!$C$53</f>
        <v>270135</v>
      </c>
      <c r="E54" s="9" t="n">
        <f aca="false">-E38*'Unit Economics'!$C$53</f>
        <v>353504.25</v>
      </c>
      <c r="F54" s="9" t="n">
        <f aca="false">-F38*'Unit Economics'!$C$53</f>
        <v>436580.0775</v>
      </c>
      <c r="G54" s="9" t="n">
        <f aca="false">-G38*'Unit Economics'!$C$53</f>
        <v>519532.155225</v>
      </c>
      <c r="H54" s="9" t="n">
        <f aca="false">-H38*'Unit Economics'!$C$53</f>
        <v>602527.87232775</v>
      </c>
      <c r="I54" s="9" t="n">
        <f aca="false">-I38*'Unit Economics'!$C$53</f>
        <v>685732.696569922</v>
      </c>
      <c r="J54" s="9" t="n">
        <f aca="false">-J38*'Unit Economics'!$C$53</f>
        <v>769310.528314329</v>
      </c>
      <c r="K54" s="9" t="n">
        <f aca="false">-K38*'Unit Economics'!$C$53</f>
        <v>853424.047134431</v>
      </c>
      <c r="L54" s="9" t="n">
        <f aca="false">-L38*'Unit Economics'!$C$53</f>
        <v>938235.051822961</v>
      </c>
      <c r="M54" s="9" t="n">
        <f aca="false">-M38*'Unit Economics'!$C$53</f>
        <v>1023904.79455887</v>
      </c>
      <c r="N54" s="9" t="n">
        <f aca="false">-N38*'Unit Economics'!$C$53</f>
        <v>1110594.30997107</v>
      </c>
      <c r="O54" s="9" t="n">
        <f aca="false">-O38*'Unit Economics'!$C$53</f>
        <v>1198464.73981827</v>
      </c>
      <c r="P54" s="9" t="n">
        <f aca="false">-P38*'Unit Economics'!$C$53</f>
        <v>1287677.65398694</v>
      </c>
      <c r="Q54" s="9" t="n">
        <f aca="false">-Q38*'Unit Economics'!$C$53</f>
        <v>1378395.36849355</v>
      </c>
      <c r="R54" s="9" t="n">
        <f aca="false">-R38*'Unit Economics'!$C$53</f>
        <v>1470781.26116308</v>
      </c>
      <c r="S54" s="9" t="n">
        <f aca="false">-S38*'Unit Economics'!$C$53</f>
        <v>1565000.08564289</v>
      </c>
      <c r="T54" s="9" t="n">
        <f aca="false">-T38*'Unit Economics'!$C$53</f>
        <v>1661218.28440023</v>
      </c>
      <c r="U54" s="9" t="n">
        <f aca="false">-U38*'Unit Economics'!$C$53</f>
        <v>1759604.30134129</v>
      </c>
      <c r="V54" s="9" t="n">
        <f aca="false">-V38*'Unit Economics'!$C$53</f>
        <v>1860328.89468174</v>
      </c>
      <c r="W54" s="9" t="n">
        <f aca="false">-W38*'Unit Economics'!$C$53</f>
        <v>1963565.45069146</v>
      </c>
      <c r="X54" s="9" t="n">
        <f aca="false">-X38*'Unit Economics'!$C$53</f>
        <v>2069490.29893045</v>
      </c>
      <c r="Y54" s="9" t="n">
        <f aca="false">-Y38*'Unit Economics'!$C$53</f>
        <v>2178283.02958843</v>
      </c>
      <c r="Z54" s="9" t="n">
        <f aca="false">-Z38*'Unit Economics'!$C$53</f>
        <v>2290126.8135377</v>
      </c>
      <c r="AA54" s="9" t="n">
        <f aca="false">-AA38*'Unit Economics'!$C$53</f>
        <v>2405208.72570664</v>
      </c>
      <c r="AB54" s="64" t="n">
        <f aca="false">SUM(D54:O54)</f>
        <v>8761945.52324261</v>
      </c>
      <c r="AC54" s="64" t="n">
        <f aca="false">SUM(P54:AA54)</f>
        <v>21889680.1681644</v>
      </c>
      <c r="AD54" s="64" t="n">
        <f aca="false">SUM(C54:AA54)</f>
        <v>30651625.691407</v>
      </c>
    </row>
    <row r="55" customFormat="false" ht="15" hidden="false" customHeight="false" outlineLevel="0" collapsed="false">
      <c r="A55" s="4" t="s">
        <v>703</v>
      </c>
      <c r="B55" s="2" t="s">
        <v>46</v>
      </c>
      <c r="D55" s="9" t="n">
        <f aca="false">-D38*'Unit Economics'!$C$54</f>
        <v>250125</v>
      </c>
      <c r="E55" s="9" t="n">
        <f aca="false">-E38*'Unit Economics'!$C$54</f>
        <v>327318.75</v>
      </c>
      <c r="F55" s="9" t="n">
        <f aca="false">-F38*'Unit Economics'!$C$54</f>
        <v>404240.8125</v>
      </c>
      <c r="G55" s="9" t="n">
        <f aca="false">-G38*'Unit Economics'!$C$54</f>
        <v>481048.291875</v>
      </c>
      <c r="H55" s="9" t="n">
        <f aca="false">-H38*'Unit Economics'!$C$54</f>
        <v>557896.17808125</v>
      </c>
      <c r="I55" s="9" t="n">
        <f aca="false">-I38*'Unit Economics'!$C$54</f>
        <v>634937.682009187</v>
      </c>
      <c r="J55" s="9" t="n">
        <f aca="false">-J38*'Unit Economics'!$C$54</f>
        <v>712324.563254008</v>
      </c>
      <c r="K55" s="9" t="n">
        <f aca="false">-K38*'Unit Economics'!$C$54</f>
        <v>790207.451050399</v>
      </c>
      <c r="L55" s="9" t="n">
        <f aca="false">-L38*'Unit Economics'!$C$54</f>
        <v>868736.159095334</v>
      </c>
      <c r="M55" s="9" t="n">
        <f aca="false">-M38*'Unit Economics'!$C$54</f>
        <v>948059.99496192</v>
      </c>
      <c r="N55" s="9" t="n">
        <f aca="false">-N38*'Unit Economics'!$C$54</f>
        <v>1028328.06478803</v>
      </c>
      <c r="O55" s="9" t="n">
        <f aca="false">-O38*'Unit Economics'!$C$54</f>
        <v>1109689.57390581</v>
      </c>
      <c r="P55" s="9" t="n">
        <f aca="false">-P38*'Unit Economics'!$C$54</f>
        <v>1192294.12406198</v>
      </c>
      <c r="Q55" s="9" t="n">
        <f aca="false">-Q38*'Unit Economics'!$C$54</f>
        <v>1276292.0078644</v>
      </c>
      <c r="R55" s="9" t="n">
        <f aca="false">-R38*'Unit Economics'!$C$54</f>
        <v>1361834.50107692</v>
      </c>
      <c r="S55" s="9" t="n">
        <f aca="false">-S38*'Unit Economics'!$C$54</f>
        <v>1449074.15337305</v>
      </c>
      <c r="T55" s="9" t="n">
        <f aca="false">-T38*'Unit Economics'!$C$54</f>
        <v>1538165.07814837</v>
      </c>
      <c r="U55" s="9" t="n">
        <f aca="false">-U38*'Unit Economics'!$C$54</f>
        <v>1629263.24198268</v>
      </c>
      <c r="V55" s="9" t="n">
        <f aca="false">-V38*'Unit Economics'!$C$54</f>
        <v>1722526.75433494</v>
      </c>
      <c r="W55" s="9" t="n">
        <f aca="false">-W38*'Unit Economics'!$C$54</f>
        <v>1818116.15804765</v>
      </c>
      <c r="X55" s="9" t="n">
        <f aca="false">-X38*'Unit Economics'!$C$54</f>
        <v>1916194.7212319</v>
      </c>
      <c r="Y55" s="9" t="n">
        <f aca="false">-Y38*'Unit Economics'!$C$54</f>
        <v>2016928.7311004</v>
      </c>
      <c r="Z55" s="9" t="n">
        <f aca="false">-Z38*'Unit Economics'!$C$54</f>
        <v>2120487.79031268</v>
      </c>
      <c r="AA55" s="9" t="n">
        <f aca="false">-AA38*'Unit Economics'!$C$54</f>
        <v>2227045.11639504</v>
      </c>
      <c r="AB55" s="64" t="n">
        <f aca="false">SUM(D55:O55)</f>
        <v>8112912.52152094</v>
      </c>
      <c r="AC55" s="64" t="n">
        <f aca="false">SUM(P55:AA55)</f>
        <v>20268222.37793</v>
      </c>
      <c r="AD55" s="64" t="n">
        <f aca="false">SUM(C55:AA55)</f>
        <v>28381134.8994509</v>
      </c>
    </row>
    <row r="56" customFormat="false" ht="15" hidden="false" customHeight="false" outlineLevel="0" collapsed="false">
      <c r="A56" s="4" t="s">
        <v>704</v>
      </c>
      <c r="B56" s="2" t="s">
        <v>46</v>
      </c>
      <c r="D56" s="9" t="n">
        <f aca="false">-D38*'Unit Economics'!$C$55</f>
        <v>7163.58</v>
      </c>
      <c r="E56" s="9" t="n">
        <f aca="false">-E38*'Unit Economics'!$C$55</f>
        <v>9374.409</v>
      </c>
      <c r="F56" s="9" t="n">
        <f aca="false">-F38*'Unit Economics'!$C$55</f>
        <v>11577.45687</v>
      </c>
      <c r="G56" s="9" t="n">
        <f aca="false">-G38*'Unit Economics'!$C$55</f>
        <v>13777.2230793</v>
      </c>
      <c r="H56" s="9" t="n">
        <f aca="false">-H38*'Unit Economics'!$C$55</f>
        <v>15978.146540247</v>
      </c>
      <c r="I56" s="9" t="n">
        <f aca="false">-I38*'Unit Economics'!$C$55</f>
        <v>18184.6152127431</v>
      </c>
      <c r="J56" s="9" t="n">
        <f aca="false">-J38*'Unit Economics'!$C$55</f>
        <v>20400.9754915948</v>
      </c>
      <c r="K56" s="9" t="n">
        <f aca="false">-K38*'Unit Economics'!$C$55</f>
        <v>22631.5413980834</v>
      </c>
      <c r="L56" s="9" t="n">
        <f aca="false">-L38*'Unit Economics'!$C$55</f>
        <v>24880.6035964904</v>
      </c>
      <c r="M56" s="9" t="n">
        <f aca="false">-M38*'Unit Economics'!$C$55</f>
        <v>27152.4382557094</v>
      </c>
      <c r="N56" s="9" t="n">
        <f aca="false">-N38*'Unit Economics'!$C$55</f>
        <v>29451.3157755292</v>
      </c>
      <c r="O56" s="9" t="n">
        <f aca="false">-O38*'Unit Economics'!$C$55</f>
        <v>31781.5093966623</v>
      </c>
      <c r="P56" s="9" t="n">
        <f aca="false">-P38*'Unit Economics'!$C$55</f>
        <v>34147.303713135</v>
      </c>
      <c r="Q56" s="9" t="n">
        <f aca="false">-Q38*'Unit Economics'!$C$55</f>
        <v>36553.0031052364</v>
      </c>
      <c r="R56" s="9" t="n">
        <f aca="false">-R38*'Unit Economics'!$C$55</f>
        <v>39002.940110843</v>
      </c>
      <c r="S56" s="9" t="n">
        <f aca="false">-S38*'Unit Economics'!$C$55</f>
        <v>41501.4837526041</v>
      </c>
      <c r="T56" s="9" t="n">
        <f aca="false">-T38*'Unit Economics'!$C$55</f>
        <v>44053.0478381692</v>
      </c>
      <c r="U56" s="9" t="n">
        <f aca="false">-U38*'Unit Economics'!$C$55</f>
        <v>46662.0992503838</v>
      </c>
      <c r="V56" s="9" t="n">
        <f aca="false">-V38*'Unit Economics'!$C$55</f>
        <v>49333.1662441527</v>
      </c>
      <c r="W56" s="9" t="n">
        <f aca="false">-W38*'Unit Economics'!$C$55</f>
        <v>52070.8467664846</v>
      </c>
      <c r="X56" s="9" t="n">
        <f aca="false">-X38*'Unit Economics'!$C$55</f>
        <v>54879.8168160815</v>
      </c>
      <c r="Y56" s="9" t="n">
        <f aca="false">-Y38*'Unit Economics'!$C$55</f>
        <v>57764.8388587155</v>
      </c>
      <c r="Z56" s="9" t="n">
        <f aca="false">-Z38*'Unit Economics'!$C$55</f>
        <v>60730.7703145552</v>
      </c>
      <c r="AA56" s="9" t="n">
        <f aca="false">-AA38*'Unit Economics'!$C$55</f>
        <v>63782.572133554</v>
      </c>
      <c r="AB56" s="64" t="n">
        <f aca="false">SUM(D56:O56)</f>
        <v>232353.81461636</v>
      </c>
      <c r="AC56" s="64" t="n">
        <f aca="false">SUM(P56:AA56)</f>
        <v>580481.888903915</v>
      </c>
      <c r="AD56" s="64" t="n">
        <f aca="false">SUM(C56:AA56)</f>
        <v>812835.703520275</v>
      </c>
    </row>
    <row r="57" customFormat="false" ht="15" hidden="false" customHeight="false" outlineLevel="0" collapsed="false">
      <c r="A57" s="4" t="s">
        <v>705</v>
      </c>
      <c r="B57" s="2" t="s">
        <v>46</v>
      </c>
      <c r="D57" s="9" t="n">
        <f aca="false">D37*'Unit Economics'!$C$63</f>
        <v>81724.32</v>
      </c>
      <c r="E57" s="9" t="n">
        <f aca="false">E37*'Unit Economics'!$C$63</f>
        <v>106946.136</v>
      </c>
      <c r="F57" s="9" t="n">
        <f aca="false">F37*'Unit Economics'!$C$63</f>
        <v>132079.18248</v>
      </c>
      <c r="G57" s="9" t="n">
        <f aca="false">G37*'Unit Economics'!$C$63</f>
        <v>157174.7907672</v>
      </c>
      <c r="H57" s="9" t="n">
        <f aca="false">H37*'Unit Economics'!$C$63</f>
        <v>182283.601336488</v>
      </c>
      <c r="I57" s="9" t="n">
        <f aca="false">I37*'Unit Economics'!$C$63</f>
        <v>207455.673381618</v>
      </c>
      <c r="J57" s="9" t="n">
        <f aca="false">J37*'Unit Economics'!$C$63</f>
        <v>232740.591908969</v>
      </c>
      <c r="K57" s="9" t="n">
        <f aca="false">K37*'Unit Economics'!$C$63</f>
        <v>258187.57259781</v>
      </c>
      <c r="L57" s="9" t="n">
        <f aca="false">L37*'Unit Economics'!$C$63</f>
        <v>283845.56466358</v>
      </c>
      <c r="M57" s="9" t="n">
        <f aca="false">M37*'Unit Economics'!$C$63</f>
        <v>309763.351953888</v>
      </c>
      <c r="N57" s="9" t="n">
        <f aca="false">N37*'Unit Economics'!$C$63</f>
        <v>335989.652500621</v>
      </c>
      <c r="O57" s="9" t="n">
        <f aca="false">O37*'Unit Economics'!$C$63</f>
        <v>362573.216745794</v>
      </c>
      <c r="P57" s="9" t="n">
        <f aca="false">P37*'Unit Economics'!$C$63</f>
        <v>389562.924653516</v>
      </c>
      <c r="Q57" s="9" t="n">
        <f aca="false">Q37*'Unit Economics'!$C$63</f>
        <v>417007.881915653</v>
      </c>
      <c r="R57" s="9" t="n">
        <f aca="false">R37*'Unit Economics'!$C$63</f>
        <v>444957.515454475</v>
      </c>
      <c r="S57" s="9" t="n">
        <f aca="false">S37*'Unit Economics'!$C$63</f>
        <v>473461.668421741</v>
      </c>
      <c r="T57" s="9" t="n">
        <f aca="false">T37*'Unit Economics'!$C$63</f>
        <v>502570.694890243</v>
      </c>
      <c r="U57" s="9" t="n">
        <f aca="false">U37*'Unit Economics'!$C$63</f>
        <v>532335.554430903</v>
      </c>
      <c r="V57" s="9" t="n">
        <f aca="false">V37*'Unit Economics'!$C$63</f>
        <v>562807.906765937</v>
      </c>
      <c r="W57" s="9" t="n">
        <f aca="false">W37*'Unit Economics'!$C$63</f>
        <v>594040.206686483</v>
      </c>
      <c r="X57" s="9" t="n">
        <f aca="false">X37*'Unit Economics'!$C$63</f>
        <v>626085.799421355</v>
      </c>
      <c r="Y57" s="9" t="n">
        <f aca="false">Y37*'Unit Economics'!$C$63</f>
        <v>658999.016642251</v>
      </c>
      <c r="Z57" s="9" t="n">
        <f aca="false">Z37*'Unit Economics'!$C$63</f>
        <v>692835.273289781</v>
      </c>
      <c r="AA57" s="9" t="n">
        <f aca="false">AA37*'Unit Economics'!$C$63</f>
        <v>727651.16540412</v>
      </c>
      <c r="AB57" s="64" t="n">
        <f aca="false">SUM(D57:O57)</f>
        <v>2650763.65433597</v>
      </c>
      <c r="AC57" s="64" t="n">
        <f aca="false">SUM(P57:AA57)</f>
        <v>6622315.60797646</v>
      </c>
      <c r="AD57" s="64" t="n">
        <f aca="false">SUM(C57:AA57)</f>
        <v>9273079.26231243</v>
      </c>
    </row>
    <row r="58" customFormat="false" ht="15" hidden="false" customHeight="false" outlineLevel="0" collapsed="false">
      <c r="A58" s="4" t="s">
        <v>706</v>
      </c>
      <c r="B58" s="2" t="s">
        <v>46</v>
      </c>
      <c r="C58" s="9" t="n">
        <f aca="false">C36*Asumsi!$D$71*Asumsi!$D$70*Asumsi!$D$12+C19*(Asumsi!$D$72+'Unit Economics'!$C$64)</f>
        <v>1530584.57</v>
      </c>
      <c r="D58" s="9" t="n">
        <f aca="false">D32*Asumsi!$D$71*Asumsi!$D$70*Asumsi!$D$12+D19*(Asumsi!$D$72+'Unit Economics'!$C$64)</f>
        <v>1001617.11826643</v>
      </c>
      <c r="E58" s="9" t="n">
        <f aca="false">E32*Asumsi!$D$71*Asumsi!$D$70*Asumsi!$D$12+E19*(Asumsi!$D$72+'Unit Economics'!$C$64)</f>
        <v>1036943.39839943</v>
      </c>
      <c r="F58" s="9" t="n">
        <f aca="false">F32*Asumsi!$D$71*Asumsi!$D$70*Asumsi!$D$12+F19*(Asumsi!$D$72+'Unit Economics'!$C$64)</f>
        <v>1075019.61375816</v>
      </c>
      <c r="G58" s="9" t="n">
        <f aca="false">G32*Asumsi!$D$71*Asumsi!$D$70*Asumsi!$D$12+G19*(Asumsi!$D$72+'Unit Economics'!$C$64)</f>
        <v>2471408.19237632</v>
      </c>
      <c r="H58" s="9" t="n">
        <f aca="false">H32*Asumsi!$D$71*Asumsi!$D$70*Asumsi!$D$12+H19*(Asumsi!$D$72+'Unit Economics'!$C$64)</f>
        <v>2515659.86074238</v>
      </c>
      <c r="I58" s="9" t="n">
        <f aca="false">I32*Asumsi!$D$71*Asumsi!$D$70*Asumsi!$D$12+I19*(Asumsi!$D$72+'Unit Economics'!$C$64)</f>
        <v>2562417.41834765</v>
      </c>
      <c r="J58" s="9" t="n">
        <f aca="false">J32*Asumsi!$D$71*Asumsi!$D$70*Asumsi!$D$12+J19*(Asumsi!$D$72+'Unit Economics'!$C$64)</f>
        <v>2611607.76905985</v>
      </c>
      <c r="K58" s="9" t="n">
        <f aca="false">K32*Asumsi!$D$71*Asumsi!$D$70*Asumsi!$D$12+K19*(Asumsi!$D$72+'Unit Economics'!$C$64)</f>
        <v>2663186.66684688</v>
      </c>
      <c r="L58" s="9" t="n">
        <f aca="false">L32*Asumsi!$D$71*Asumsi!$D$70*Asumsi!$D$12+L19*(Asumsi!$D$72+'Unit Economics'!$C$64)</f>
        <v>2717137.12446354</v>
      </c>
      <c r="M58" s="9" t="n">
        <f aca="false">M32*Asumsi!$D$71*Asumsi!$D$70*Asumsi!$D$12+M19*(Asumsi!$D$72+'Unit Economics'!$C$64)</f>
        <v>2773467.32504164</v>
      </c>
      <c r="N58" s="9" t="n">
        <f aca="false">N32*Asumsi!$D$71*Asumsi!$D$70*Asumsi!$D$12+N19*(Asumsi!$D$72+'Unit Economics'!$C$64)</f>
        <v>2832208.3507666</v>
      </c>
      <c r="O58" s="9" t="n">
        <f aca="false">O32*Asumsi!$D$71*Asumsi!$D$70*Asumsi!$D$12+O19*(Asumsi!$D$72+'Unit Economics'!$C$64)</f>
        <v>2893411.94233194</v>
      </c>
      <c r="P58" s="9" t="n">
        <f aca="false">P32*Asumsi!$D$71*Asumsi!$D$70*Asumsi!$D$12+P19*(Asumsi!$D$72+'Unit Economics'!$C$64)</f>
        <v>3635025.31738419</v>
      </c>
      <c r="Q58" s="9" t="n">
        <f aca="false">Q32*Asumsi!$D$71*Asumsi!$D$70*Asumsi!$D$12+Q19*(Asumsi!$D$72+'Unit Economics'!$C$64)</f>
        <v>3702548.05773447</v>
      </c>
      <c r="R58" s="9" t="n">
        <f aca="false">R32*Asumsi!$D$71*Asumsi!$D$70*Asumsi!$D$12+R19*(Asumsi!$D$72+'Unit Economics'!$C$64)</f>
        <v>3772749.10575048</v>
      </c>
      <c r="S58" s="9" t="n">
        <f aca="false">S32*Asumsi!$D$71*Asumsi!$D$70*Asumsi!$D$12+S19*(Asumsi!$D$72+'Unit Economics'!$C$64)</f>
        <v>3845747.16058277</v>
      </c>
      <c r="T58" s="9" t="n">
        <f aca="false">T32*Asumsi!$D$71*Asumsi!$D$70*Asumsi!$D$12+T19*(Asumsi!$D$72+'Unit Economics'!$C$64)</f>
        <v>3921673.22551078</v>
      </c>
      <c r="U58" s="9" t="n">
        <f aca="false">U32*Asumsi!$D$71*Asumsi!$D$70*Asumsi!$D$12+U19*(Asumsi!$D$72+'Unit Economics'!$C$64)</f>
        <v>4000669.86193883</v>
      </c>
      <c r="V58" s="9" t="n">
        <f aca="false">V32*Asumsi!$D$71*Asumsi!$D$70*Asumsi!$D$12+V19*(Asumsi!$D$72+'Unit Economics'!$C$64)</f>
        <v>4082890.62414319</v>
      </c>
      <c r="W58" s="9" t="n">
        <f aca="false">W32*Asumsi!$D$71*Asumsi!$D$70*Asumsi!$D$12+W19*(Asumsi!$D$72+'Unit Economics'!$C$64)</f>
        <v>4168499.65491283</v>
      </c>
      <c r="X58" s="9" t="n">
        <f aca="false">X32*Asumsi!$D$71*Asumsi!$D$70*Asumsi!$D$12+X19*(Asumsi!$D$72+'Unit Economics'!$C$64)</f>
        <v>4257671.4232837</v>
      </c>
      <c r="Y58" s="9" t="n">
        <f aca="false">Y32*Asumsi!$D$71*Asumsi!$D$70*Asumsi!$D$12+Y19*(Asumsi!$D$72+'Unit Economics'!$C$64)</f>
        <v>4350590.58724657</v>
      </c>
      <c r="Z58" s="9" t="n">
        <f aca="false">Z32*Asumsi!$D$71*Asumsi!$D$70*Asumsi!$D$12+Z19*(Asumsi!$D$72+'Unit Economics'!$C$64)</f>
        <v>4447451.96625381</v>
      </c>
      <c r="AA58" s="9" t="n">
        <f aca="false">AA32*Asumsi!$D$71*Asumsi!$D$70*Asumsi!$D$12+AA19*(Asumsi!$D$72+'Unit Economics'!$C$64)</f>
        <v>4548460.61034104</v>
      </c>
      <c r="AB58" s="64" t="n">
        <f aca="false">SUM(D58:O58)</f>
        <v>27154084.7804008</v>
      </c>
      <c r="AC58" s="64" t="n">
        <f aca="false">SUM(P58:AA58)</f>
        <v>48733977.5950827</v>
      </c>
      <c r="AD58" s="64" t="n">
        <f aca="false">SUM(C58:AA58)</f>
        <v>77418646.9454835</v>
      </c>
    </row>
    <row r="59" customFormat="false" ht="15" hidden="false" customHeight="false" outlineLevel="0" collapsed="false">
      <c r="A59" s="25" t="s">
        <v>707</v>
      </c>
      <c r="B59" s="2" t="s">
        <v>46</v>
      </c>
      <c r="C59" s="64" t="n">
        <f aca="false">SUM(C52:C58)</f>
        <v>1530584.57</v>
      </c>
      <c r="D59" s="64" t="n">
        <f aca="false">SUM(D52:D58)</f>
        <v>2451181.01626643</v>
      </c>
      <c r="E59" s="64" t="n">
        <f aca="false">SUM(E52:E58)</f>
        <v>2933872.70629943</v>
      </c>
      <c r="F59" s="64" t="n">
        <f aca="false">SUM(F52:F58)</f>
        <v>3417739.80525516</v>
      </c>
      <c r="G59" s="64" t="n">
        <f aca="false">SUM(G52:G58)</f>
        <v>5259255.21725015</v>
      </c>
      <c r="H59" s="64" t="n">
        <f aca="false">SUM(H52:H58)</f>
        <v>5748867.89104227</v>
      </c>
      <c r="I59" s="64" t="n">
        <f aca="false">SUM(I52:I58)</f>
        <v>6242108.53806908</v>
      </c>
      <c r="J59" s="64" t="n">
        <f aca="false">SUM(J52:J58)</f>
        <v>6739783.5633692</v>
      </c>
      <c r="K59" s="64" t="n">
        <f aca="false">SUM(K52:K58)</f>
        <v>7242721.67123772</v>
      </c>
      <c r="L59" s="64" t="n">
        <f aca="false">SUM(L52:L58)</f>
        <v>7751774.09842368</v>
      </c>
      <c r="M59" s="64" t="n">
        <f aca="false">SUM(M52:M58)</f>
        <v>8267814.31888417</v>
      </c>
      <c r="N59" s="64" t="n">
        <f aca="false">SUM(N52:N58)</f>
        <v>8791737.5382406</v>
      </c>
      <c r="O59" s="64" t="n">
        <f aca="false">SUM(O52:O58)</f>
        <v>9324460.19548879</v>
      </c>
      <c r="P59" s="64" t="n">
        <f aca="false">SUM(P52:P58)</f>
        <v>10544796.503942</v>
      </c>
      <c r="Q59" s="64" t="n">
        <f aca="false">SUM(Q52:Q58)</f>
        <v>11099117.0448656</v>
      </c>
      <c r="R59" s="64" t="n">
        <f aca="false">SUM(R52:R58)</f>
        <v>11665067.4578222</v>
      </c>
      <c r="S59" s="64" t="n">
        <f aca="false">SUM(S52:S58)</f>
        <v>12243650.52192</v>
      </c>
      <c r="T59" s="64" t="n">
        <f aca="false">SUM(T52:T58)</f>
        <v>12835890.382725</v>
      </c>
      <c r="U59" s="64" t="n">
        <f aca="false">SUM(U52:U58)</f>
        <v>13442833.483794</v>
      </c>
      <c r="V59" s="64" t="n">
        <f aca="false">SUM(V52:V58)</f>
        <v>14065549.6803073</v>
      </c>
      <c r="W59" s="64" t="n">
        <f aca="false">SUM(W52:W58)</f>
        <v>14705133.5182865</v>
      </c>
      <c r="X59" s="64" t="n">
        <f aca="false">SUM(X52:X58)</f>
        <v>15362705.6639071</v>
      </c>
      <c r="Y59" s="64" t="n">
        <f aca="false">SUM(Y52:Y58)</f>
        <v>16039414.469074</v>
      </c>
      <c r="Z59" s="64" t="n">
        <f aca="false">SUM(Z52:Z58)</f>
        <v>16736437.6613545</v>
      </c>
      <c r="AA59" s="64" t="n">
        <f aca="false">SUM(AA52:AA58)</f>
        <v>17454984.1483459</v>
      </c>
      <c r="AB59" s="64" t="n">
        <f aca="false">SUM(D59:O59)</f>
        <v>74171316.5598267</v>
      </c>
      <c r="AC59" s="64" t="n">
        <f aca="false">SUM(P59:AA59)</f>
        <v>166195580.536344</v>
      </c>
      <c r="AD59" s="64" t="n">
        <f aca="false">SUM(C59:AA59)</f>
        <v>241897481.666171</v>
      </c>
    </row>
    <row r="60" customFormat="false" ht="15" hidden="false" customHeight="false" outlineLevel="0" collapsed="false">
      <c r="A60" s="25" t="s">
        <v>708</v>
      </c>
      <c r="B60" s="2" t="s">
        <v>46</v>
      </c>
      <c r="C60" s="64" t="n">
        <f aca="false">C47-C59</f>
        <v>-1530584.57</v>
      </c>
      <c r="D60" s="64" t="n">
        <f aca="false">D47-D59</f>
        <v>-770674.766266428</v>
      </c>
      <c r="E60" s="64" t="n">
        <f aca="false">E47-E59</f>
        <v>-726450.288066932</v>
      </c>
      <c r="F60" s="64" t="n">
        <f aca="false">F47-F59</f>
        <v>-686559.097034458</v>
      </c>
      <c r="G60" s="64" t="n">
        <f aca="false">G47-G59</f>
        <v>-2006141.06104596</v>
      </c>
      <c r="H60" s="64" t="n">
        <f aca="false">H47-H59</f>
        <v>-1975521.78220344</v>
      </c>
      <c r="I60" s="64" t="n">
        <f aca="false">I47-I59</f>
        <v>-1948037.45577787</v>
      </c>
      <c r="J60" s="64" t="n">
        <f aca="false">J47-J59</f>
        <v>-1495906.95368506</v>
      </c>
      <c r="K60" s="64" t="n">
        <f aca="false">K47-K59</f>
        <v>-1426857.71048538</v>
      </c>
      <c r="L60" s="64" t="n">
        <f aca="false">L47-L59</f>
        <v>-1359555.35644354</v>
      </c>
      <c r="M60" s="64" t="n">
        <f aca="false">M47-M59</f>
        <v>-1293674.24932083</v>
      </c>
      <c r="N60" s="64" t="n">
        <f aca="false">N47-N59</f>
        <v>-1228929.69824406</v>
      </c>
      <c r="O60" s="64" t="n">
        <f aca="false">O47-O59</f>
        <v>-1165072.85424312</v>
      </c>
      <c r="P60" s="64" t="n">
        <f aca="false">P47-P59</f>
        <v>-1779762.81055444</v>
      </c>
      <c r="Q60" s="64" t="n">
        <f aca="false">Q47-Q59</f>
        <v>-1719339.34697606</v>
      </c>
      <c r="R60" s="64" t="n">
        <f aca="false">R47-R59</f>
        <v>-1659140.56003201</v>
      </c>
      <c r="S60" s="64" t="n">
        <f aca="false">S47-S59</f>
        <v>-1599022.94459136</v>
      </c>
      <c r="T60" s="64" t="n">
        <f aca="false">T47-T59</f>
        <v>-1538858.77162928</v>
      </c>
      <c r="U60" s="64" t="n">
        <f aca="false">U47-U59</f>
        <v>-1478533.85597566</v>
      </c>
      <c r="V60" s="64" t="n">
        <f aca="false">V47-V59</f>
        <v>-1417945.66408272</v>
      </c>
      <c r="W60" s="64" t="n">
        <f aca="false">W47-W59</f>
        <v>-1357001.72125661</v>
      </c>
      <c r="X60" s="64" t="n">
        <f aca="false">X47-X59</f>
        <v>-1295618.27984485</v>
      </c>
      <c r="Y60" s="64" t="n">
        <f aca="false">Y47-Y59</f>
        <v>-1233719.21313483</v>
      </c>
      <c r="Z60" s="64" t="n">
        <f aca="false">Z47-Z59</f>
        <v>-1171235.10349732</v>
      </c>
      <c r="AA60" s="64" t="n">
        <f aca="false">AA47-AA59</f>
        <v>-1108102.49717254</v>
      </c>
      <c r="AB60" s="64" t="n">
        <f aca="false">SUM(D60:O60)</f>
        <v>-16083381.2728171</v>
      </c>
      <c r="AC60" s="64" t="n">
        <f aca="false">SUM(P60:AA60)</f>
        <v>-17358280.7687477</v>
      </c>
      <c r="AD60" s="64" t="n">
        <f aca="false">SUM(C60:AA60)</f>
        <v>-34972246.6115648</v>
      </c>
    </row>
    <row r="61" customFormat="false" ht="15" hidden="false" customHeight="false" outlineLevel="0" collapsed="false">
      <c r="A61" s="4" t="s">
        <v>565</v>
      </c>
      <c r="B61" s="2" t="s">
        <v>698</v>
      </c>
      <c r="D61" s="36" t="n">
        <f aca="false">IF(D38&gt;0,D60/D38,0)</f>
        <v>-38514.481072785</v>
      </c>
      <c r="E61" s="36" t="n">
        <f aca="false">IF(E38&gt;0,E60/E38,0)</f>
        <v>-27742.4638852392</v>
      </c>
      <c r="F61" s="36" t="n">
        <f aca="false">IF(F38&gt;0,F60/F38,0)</f>
        <v>-21229.8918059658</v>
      </c>
      <c r="G61" s="36" t="n">
        <f aca="false">IF(G38&gt;0,G60/G38,0)</f>
        <v>-52129.4092227869</v>
      </c>
      <c r="H61" s="36" t="n">
        <f aca="false">IF(H38&gt;0,H60/H38,0)</f>
        <v>-44262.7557737932</v>
      </c>
      <c r="I61" s="36" t="n">
        <f aca="false">IF(I38&gt;0,I60/I38,0)</f>
        <v>-38350.9577194555</v>
      </c>
      <c r="J61" s="36" t="n">
        <f aca="false">IF(J38&gt;0,J60/J38,0)</f>
        <v>-26250.4452122836</v>
      </c>
      <c r="K61" s="36" t="n">
        <f aca="false">IF(K38&gt;0,K60/K38,0)</f>
        <v>-22570.9354642996</v>
      </c>
      <c r="L61" s="36" t="n">
        <f aca="false">IF(L38&gt;0,L60/L38,0)</f>
        <v>-19562.2592401836</v>
      </c>
      <c r="M61" s="36" t="n">
        <f aca="false">IF(M38&gt;0,M60/M38,0)</f>
        <v>-17056.8615936166</v>
      </c>
      <c r="N61" s="36" t="n">
        <f aca="false">IF(N38&gt;0,N60/N38,0)</f>
        <v>-14938.4440180743</v>
      </c>
      <c r="O61" s="36" t="n">
        <f aca="false">IF(O38&gt;0,O60/O38,0)</f>
        <v>-13123.8600600524</v>
      </c>
      <c r="P61" s="36" t="n">
        <f aca="false">IF(P38&gt;0,P60/P38,0)</f>
        <v>-18659.015995263</v>
      </c>
      <c r="Q61" s="36" t="n">
        <f aca="false">IF(Q38&gt;0,Q60/Q38,0)</f>
        <v>-16839.2042767412</v>
      </c>
      <c r="R61" s="36" t="n">
        <f aca="false">IF(R38&gt;0,R60/R38,0)</f>
        <v>-15228.9114308676</v>
      </c>
      <c r="S61" s="36" t="n">
        <f aca="false">IF(S38&gt;0,S60/S38,0)</f>
        <v>-13793.487904581</v>
      </c>
      <c r="T61" s="36" t="n">
        <f aca="false">IF(T38&gt;0,T60/T38,0)</f>
        <v>-12505.6373458445</v>
      </c>
      <c r="U61" s="36" t="n">
        <f aca="false">IF(U38&gt;0,U60/U38,0)</f>
        <v>-11343.577098815</v>
      </c>
      <c r="V61" s="36" t="n">
        <f aca="false">IF(V38&gt;0,V60/V38,0)</f>
        <v>-10289.7216292453</v>
      </c>
      <c r="W61" s="36" t="n">
        <f aca="false">IF(W38&gt;0,W60/W38,0)</f>
        <v>-9329.72375864178</v>
      </c>
      <c r="X61" s="36" t="n">
        <f aca="false">IF(X38&gt;0,X60/X38,0)</f>
        <v>-8451.76553228835</v>
      </c>
      <c r="Y61" s="36" t="n">
        <f aca="false">IF(Y38&gt;0,Y60/Y38,0)</f>
        <v>-7646.02632031115</v>
      </c>
      <c r="Z61" s="36" t="n">
        <f aca="false">IF(Z38&gt;0,Z60/Z38,0)</f>
        <v>-6904.27875161574</v>
      </c>
      <c r="AA61" s="36" t="n">
        <f aca="false">IF(AA38&gt;0,AA60/AA38,0)</f>
        <v>-6219.57818127999</v>
      </c>
      <c r="AB61" s="64" t="n">
        <f aca="false">IF(AB38&gt;0,AB60/AB38,0)</f>
        <v>-24780.5292337263</v>
      </c>
      <c r="AC61" s="64" t="n">
        <f aca="false">IF(AC38&gt;0,AC60/AC38,0)</f>
        <v>-10705.3546958126</v>
      </c>
      <c r="AD61" s="64" t="n">
        <f aca="false">IF(AD38&gt;0,AD60/AD38,0)</f>
        <v>-15402.9458016148</v>
      </c>
    </row>
    <row r="62" customFormat="false" ht="15" hidden="false" customHeight="false" outlineLevel="0" collapsed="false">
      <c r="A62" s="7" t="s">
        <v>709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customFormat="false" ht="15" hidden="false" customHeight="false" outlineLevel="0" collapsed="false">
      <c r="A63" s="4" t="s">
        <v>710</v>
      </c>
      <c r="B63" s="2" t="s">
        <v>46</v>
      </c>
      <c r="D63" s="36" t="n">
        <f aca="false">D25</f>
        <v>5000000</v>
      </c>
      <c r="E63" s="36" t="n">
        <f aca="false">E25</f>
        <v>5000000</v>
      </c>
      <c r="F63" s="36" t="n">
        <f aca="false">F25</f>
        <v>5000000</v>
      </c>
      <c r="G63" s="36" t="n">
        <f aca="false">G25</f>
        <v>25000000</v>
      </c>
      <c r="H63" s="36" t="n">
        <f aca="false">H25</f>
        <v>25000000</v>
      </c>
      <c r="I63" s="36" t="n">
        <f aca="false">I25</f>
        <v>25000000</v>
      </c>
      <c r="J63" s="36" t="n">
        <f aca="false">J25</f>
        <v>25000000</v>
      </c>
      <c r="K63" s="36" t="n">
        <f aca="false">K25</f>
        <v>25000000</v>
      </c>
      <c r="L63" s="36" t="n">
        <f aca="false">L25</f>
        <v>25000000</v>
      </c>
      <c r="M63" s="36" t="n">
        <f aca="false">M25</f>
        <v>25000000</v>
      </c>
      <c r="N63" s="36" t="n">
        <f aca="false">N25</f>
        <v>25000000</v>
      </c>
      <c r="O63" s="36" t="n">
        <f aca="false">O25</f>
        <v>25000000</v>
      </c>
      <c r="P63" s="36" t="n">
        <f aca="false">P25</f>
        <v>35000000</v>
      </c>
      <c r="Q63" s="36" t="n">
        <f aca="false">Q25</f>
        <v>35000000</v>
      </c>
      <c r="R63" s="36" t="n">
        <f aca="false">R25</f>
        <v>35000000</v>
      </c>
      <c r="S63" s="36" t="n">
        <f aca="false">S25</f>
        <v>35000000</v>
      </c>
      <c r="T63" s="36" t="n">
        <f aca="false">T25</f>
        <v>35000000</v>
      </c>
      <c r="U63" s="36" t="n">
        <f aca="false">U25</f>
        <v>35000000</v>
      </c>
      <c r="V63" s="36" t="n">
        <f aca="false">V25</f>
        <v>35000000</v>
      </c>
      <c r="W63" s="36" t="n">
        <f aca="false">W25</f>
        <v>35000000</v>
      </c>
      <c r="X63" s="36" t="n">
        <f aca="false">X25</f>
        <v>35000000</v>
      </c>
      <c r="Y63" s="36" t="n">
        <f aca="false">Y25</f>
        <v>35000000</v>
      </c>
      <c r="Z63" s="36" t="n">
        <f aca="false">Z25</f>
        <v>35000000</v>
      </c>
      <c r="AA63" s="36" t="n">
        <f aca="false">AA25</f>
        <v>35000000</v>
      </c>
      <c r="AB63" s="64" t="n">
        <f aca="false">SUM(D63:O63)</f>
        <v>240000000</v>
      </c>
      <c r="AC63" s="64" t="n">
        <f aca="false">SUM(P63:AA63)</f>
        <v>420000000</v>
      </c>
      <c r="AD63" s="64" t="n">
        <f aca="false">SUM(C63:AA63)</f>
        <v>660000000</v>
      </c>
    </row>
    <row r="64" customFormat="false" ht="15" hidden="false" customHeight="false" outlineLevel="0" collapsed="false">
      <c r="A64" s="4" t="s">
        <v>711</v>
      </c>
      <c r="B64" s="2" t="s">
        <v>46</v>
      </c>
      <c r="C64" s="9" t="n">
        <f aca="false">Asumsi!$D$114*(1+Asumsi!$D$116)*Asumsi!$D$11</f>
        <v>216000000</v>
      </c>
      <c r="D64" s="9" t="n">
        <f aca="false">IF(D$5&lt;=12,Asumsi!$D$114,Asumsi!$D$115)*(1+Asumsi!$D$116)</f>
        <v>72000000</v>
      </c>
      <c r="E64" s="9" t="n">
        <f aca="false">IF(E$5&lt;=12,Asumsi!$D$114,Asumsi!$D$115)*(1+Asumsi!$D$116)</f>
        <v>72000000</v>
      </c>
      <c r="F64" s="9" t="n">
        <f aca="false">IF(F$5&lt;=12,Asumsi!$D$114,Asumsi!$D$115)*(1+Asumsi!$D$116)</f>
        <v>72000000</v>
      </c>
      <c r="G64" s="9" t="n">
        <f aca="false">IF(G$5&lt;=12,Asumsi!$D$114,Asumsi!$D$115)*(1+Asumsi!$D$116)</f>
        <v>72000000</v>
      </c>
      <c r="H64" s="9" t="n">
        <f aca="false">IF(H$5&lt;=12,Asumsi!$D$114,Asumsi!$D$115)*(1+Asumsi!$D$116)</f>
        <v>72000000</v>
      </c>
      <c r="I64" s="9" t="n">
        <f aca="false">IF(I$5&lt;=12,Asumsi!$D$114,Asumsi!$D$115)*(1+Asumsi!$D$116)</f>
        <v>72000000</v>
      </c>
      <c r="J64" s="9" t="n">
        <f aca="false">IF(J$5&lt;=12,Asumsi!$D$114,Asumsi!$D$115)*(1+Asumsi!$D$116)</f>
        <v>72000000</v>
      </c>
      <c r="K64" s="9" t="n">
        <f aca="false">IF(K$5&lt;=12,Asumsi!$D$114,Asumsi!$D$115)*(1+Asumsi!$D$116)</f>
        <v>72000000</v>
      </c>
      <c r="L64" s="9" t="n">
        <f aca="false">IF(L$5&lt;=12,Asumsi!$D$114,Asumsi!$D$115)*(1+Asumsi!$D$116)</f>
        <v>72000000</v>
      </c>
      <c r="M64" s="9" t="n">
        <f aca="false">IF(M$5&lt;=12,Asumsi!$D$114,Asumsi!$D$115)*(1+Asumsi!$D$116)</f>
        <v>72000000</v>
      </c>
      <c r="N64" s="9" t="n">
        <f aca="false">IF(N$5&lt;=12,Asumsi!$D$114,Asumsi!$D$115)*(1+Asumsi!$D$116)</f>
        <v>72000000</v>
      </c>
      <c r="O64" s="9" t="n">
        <f aca="false">IF(O$5&lt;=12,Asumsi!$D$114,Asumsi!$D$115)*(1+Asumsi!$D$116)</f>
        <v>72000000</v>
      </c>
      <c r="P64" s="9" t="n">
        <f aca="false">IF(P$5&lt;=12,Asumsi!$D$114,Asumsi!$D$115)*(1+Asumsi!$D$116)</f>
        <v>102000000</v>
      </c>
      <c r="Q64" s="9" t="n">
        <f aca="false">IF(Q$5&lt;=12,Asumsi!$D$114,Asumsi!$D$115)*(1+Asumsi!$D$116)</f>
        <v>102000000</v>
      </c>
      <c r="R64" s="9" t="n">
        <f aca="false">IF(R$5&lt;=12,Asumsi!$D$114,Asumsi!$D$115)*(1+Asumsi!$D$116)</f>
        <v>102000000</v>
      </c>
      <c r="S64" s="9" t="n">
        <f aca="false">IF(S$5&lt;=12,Asumsi!$D$114,Asumsi!$D$115)*(1+Asumsi!$D$116)</f>
        <v>102000000</v>
      </c>
      <c r="T64" s="9" t="n">
        <f aca="false">IF(T$5&lt;=12,Asumsi!$D$114,Asumsi!$D$115)*(1+Asumsi!$D$116)</f>
        <v>102000000</v>
      </c>
      <c r="U64" s="9" t="n">
        <f aca="false">IF(U$5&lt;=12,Asumsi!$D$114,Asumsi!$D$115)*(1+Asumsi!$D$116)</f>
        <v>102000000</v>
      </c>
      <c r="V64" s="9" t="n">
        <f aca="false">IF(V$5&lt;=12,Asumsi!$D$114,Asumsi!$D$115)*(1+Asumsi!$D$116)</f>
        <v>102000000</v>
      </c>
      <c r="W64" s="9" t="n">
        <f aca="false">IF(W$5&lt;=12,Asumsi!$D$114,Asumsi!$D$115)*(1+Asumsi!$D$116)</f>
        <v>102000000</v>
      </c>
      <c r="X64" s="9" t="n">
        <f aca="false">IF(X$5&lt;=12,Asumsi!$D$114,Asumsi!$D$115)*(1+Asumsi!$D$116)</f>
        <v>102000000</v>
      </c>
      <c r="Y64" s="9" t="n">
        <f aca="false">IF(Y$5&lt;=12,Asumsi!$D$114,Asumsi!$D$115)*(1+Asumsi!$D$116)</f>
        <v>102000000</v>
      </c>
      <c r="Z64" s="9" t="n">
        <f aca="false">IF(Z$5&lt;=12,Asumsi!$D$114,Asumsi!$D$115)*(1+Asumsi!$D$116)</f>
        <v>102000000</v>
      </c>
      <c r="AA64" s="9" t="n">
        <f aca="false">IF(AA$5&lt;=12,Asumsi!$D$114,Asumsi!$D$115)*(1+Asumsi!$D$116)</f>
        <v>102000000</v>
      </c>
      <c r="AB64" s="64" t="n">
        <f aca="false">SUM(D64:O64)</f>
        <v>864000000</v>
      </c>
      <c r="AC64" s="64" t="n">
        <f aca="false">SUM(P64:AA64)</f>
        <v>1224000000</v>
      </c>
      <c r="AD64" s="64" t="n">
        <f aca="false">SUM(C64:AA64)</f>
        <v>2304000000</v>
      </c>
    </row>
    <row r="65" customFormat="false" ht="15" hidden="false" customHeight="false" outlineLevel="0" collapsed="false">
      <c r="A65" s="4" t="s">
        <v>712</v>
      </c>
      <c r="B65" s="2" t="s">
        <v>46</v>
      </c>
      <c r="C65" s="9" t="n">
        <f aca="false">(Asumsi!$D$108*Asumsi!$D$12+Asumsi!$D$113)*Asumsi!$D$11</f>
        <v>7612530</v>
      </c>
      <c r="D65" s="9" t="n">
        <f aca="false">(Asumsi!$D$108+IF(D38&gt;=Asumsi!$D$110,Asumsi!$D$109,0)+IF(D38&gt;=Asumsi!$D$112,Asumsi!$D$111,0))*Asumsi!$D$12+Asumsi!$D$113</f>
        <v>2537510</v>
      </c>
      <c r="E65" s="9" t="n">
        <f aca="false">(Asumsi!$D$108+IF(E38&gt;=Asumsi!$D$110,Asumsi!$D$109,0)+IF(E38&gt;=Asumsi!$D$112,Asumsi!$D$111,0))*Asumsi!$D$12+Asumsi!$D$113</f>
        <v>2537510</v>
      </c>
      <c r="F65" s="9" t="n">
        <f aca="false">(Asumsi!$D$108+IF(F38&gt;=Asumsi!$D$110,Asumsi!$D$109,0)+IF(F38&gt;=Asumsi!$D$112,Asumsi!$D$111,0))*Asumsi!$D$12+Asumsi!$D$113</f>
        <v>2537510</v>
      </c>
      <c r="G65" s="9" t="n">
        <f aca="false">(Asumsi!$D$108+IF(G38&gt;=Asumsi!$D$110,Asumsi!$D$109,0)+IF(G38&gt;=Asumsi!$D$112,Asumsi!$D$111,0))*Asumsi!$D$12+Asumsi!$D$113</f>
        <v>2537510</v>
      </c>
      <c r="H65" s="9" t="n">
        <f aca="false">(Asumsi!$D$108+IF(H38&gt;=Asumsi!$D$110,Asumsi!$D$109,0)+IF(H38&gt;=Asumsi!$D$112,Asumsi!$D$111,0))*Asumsi!$D$12+Asumsi!$D$113</f>
        <v>2537510</v>
      </c>
      <c r="I65" s="9" t="n">
        <f aca="false">(Asumsi!$D$108+IF(I38&gt;=Asumsi!$D$110,Asumsi!$D$109,0)+IF(I38&gt;=Asumsi!$D$112,Asumsi!$D$111,0))*Asumsi!$D$12+Asumsi!$D$113</f>
        <v>2537510</v>
      </c>
      <c r="J65" s="9" t="n">
        <f aca="false">(Asumsi!$D$108+IF(J38&gt;=Asumsi!$D$110,Asumsi!$D$109,0)+IF(J38&gt;=Asumsi!$D$112,Asumsi!$D$111,0))*Asumsi!$D$12+Asumsi!$D$113</f>
        <v>2537510</v>
      </c>
      <c r="K65" s="9" t="n">
        <f aca="false">(Asumsi!$D$108+IF(K38&gt;=Asumsi!$D$110,Asumsi!$D$109,0)+IF(K38&gt;=Asumsi!$D$112,Asumsi!$D$111,0))*Asumsi!$D$12+Asumsi!$D$113</f>
        <v>2537510</v>
      </c>
      <c r="L65" s="9" t="n">
        <f aca="false">(Asumsi!$D$108+IF(L38&gt;=Asumsi!$D$110,Asumsi!$D$109,0)+IF(L38&gt;=Asumsi!$D$112,Asumsi!$D$111,0))*Asumsi!$D$12+Asumsi!$D$113</f>
        <v>2537510</v>
      </c>
      <c r="M65" s="9" t="n">
        <f aca="false">(Asumsi!$D$108+IF(M38&gt;=Asumsi!$D$110,Asumsi!$D$109,0)+IF(M38&gt;=Asumsi!$D$112,Asumsi!$D$111,0))*Asumsi!$D$12+Asumsi!$D$113</f>
        <v>2537510</v>
      </c>
      <c r="N65" s="9" t="n">
        <f aca="false">(Asumsi!$D$108+IF(N38&gt;=Asumsi!$D$110,Asumsi!$D$109,0)+IF(N38&gt;=Asumsi!$D$112,Asumsi!$D$111,0))*Asumsi!$D$12+Asumsi!$D$113</f>
        <v>2537510</v>
      </c>
      <c r="O65" s="9" t="n">
        <f aca="false">(Asumsi!$D$108+IF(O38&gt;=Asumsi!$D$110,Asumsi!$D$109,0)+IF(O38&gt;=Asumsi!$D$112,Asumsi!$D$111,0))*Asumsi!$D$12+Asumsi!$D$113</f>
        <v>2537510</v>
      </c>
      <c r="P65" s="9" t="n">
        <f aca="false">(Asumsi!$D$108+IF(P38&gt;=Asumsi!$D$110,Asumsi!$D$109,0)+IF(P38&gt;=Asumsi!$D$112,Asumsi!$D$111,0))*Asumsi!$D$12+Asumsi!$D$113</f>
        <v>2537510</v>
      </c>
      <c r="Q65" s="9" t="n">
        <f aca="false">(Asumsi!$D$108+IF(Q38&gt;=Asumsi!$D$110,Asumsi!$D$109,0)+IF(Q38&gt;=Asumsi!$D$112,Asumsi!$D$111,0))*Asumsi!$D$12+Asumsi!$D$113</f>
        <v>2537510</v>
      </c>
      <c r="R65" s="9" t="n">
        <f aca="false">(Asumsi!$D$108+IF(R38&gt;=Asumsi!$D$110,Asumsi!$D$109,0)+IF(R38&gt;=Asumsi!$D$112,Asumsi!$D$111,0))*Asumsi!$D$12+Asumsi!$D$113</f>
        <v>2537510</v>
      </c>
      <c r="S65" s="9" t="n">
        <f aca="false">(Asumsi!$D$108+IF(S38&gt;=Asumsi!$D$110,Asumsi!$D$109,0)+IF(S38&gt;=Asumsi!$D$112,Asumsi!$D$111,0))*Asumsi!$D$12+Asumsi!$D$113</f>
        <v>2537510</v>
      </c>
      <c r="T65" s="9" t="n">
        <f aca="false">(Asumsi!$D$108+IF(T38&gt;=Asumsi!$D$110,Asumsi!$D$109,0)+IF(T38&gt;=Asumsi!$D$112,Asumsi!$D$111,0))*Asumsi!$D$12+Asumsi!$D$113</f>
        <v>2537510</v>
      </c>
      <c r="U65" s="9" t="n">
        <f aca="false">(Asumsi!$D$108+IF(U38&gt;=Asumsi!$D$110,Asumsi!$D$109,0)+IF(U38&gt;=Asumsi!$D$112,Asumsi!$D$111,0))*Asumsi!$D$12+Asumsi!$D$113</f>
        <v>2537510</v>
      </c>
      <c r="V65" s="9" t="n">
        <f aca="false">(Asumsi!$D$108+IF(V38&gt;=Asumsi!$D$110,Asumsi!$D$109,0)+IF(V38&gt;=Asumsi!$D$112,Asumsi!$D$111,0))*Asumsi!$D$12+Asumsi!$D$113</f>
        <v>2537510</v>
      </c>
      <c r="W65" s="9" t="n">
        <f aca="false">(Asumsi!$D$108+IF(W38&gt;=Asumsi!$D$110,Asumsi!$D$109,0)+IF(W38&gt;=Asumsi!$D$112,Asumsi!$D$111,0))*Asumsi!$D$12+Asumsi!$D$113</f>
        <v>2537510</v>
      </c>
      <c r="X65" s="9" t="n">
        <f aca="false">(Asumsi!$D$108+IF(X38&gt;=Asumsi!$D$110,Asumsi!$D$109,0)+IF(X38&gt;=Asumsi!$D$112,Asumsi!$D$111,0))*Asumsi!$D$12+Asumsi!$D$113</f>
        <v>2537510</v>
      </c>
      <c r="Y65" s="9" t="n">
        <f aca="false">(Asumsi!$D$108+IF(Y38&gt;=Asumsi!$D$110,Asumsi!$D$109,0)+IF(Y38&gt;=Asumsi!$D$112,Asumsi!$D$111,0))*Asumsi!$D$12+Asumsi!$D$113</f>
        <v>2537510</v>
      </c>
      <c r="Z65" s="9" t="n">
        <f aca="false">(Asumsi!$D$108+IF(Z38&gt;=Asumsi!$D$110,Asumsi!$D$109,0)+IF(Z38&gt;=Asumsi!$D$112,Asumsi!$D$111,0))*Asumsi!$D$12+Asumsi!$D$113</f>
        <v>2537510</v>
      </c>
      <c r="AA65" s="9" t="n">
        <f aca="false">(Asumsi!$D$108+IF(AA38&gt;=Asumsi!$D$110,Asumsi!$D$109,0)+IF(AA38&gt;=Asumsi!$D$112,Asumsi!$D$111,0))*Asumsi!$D$12+Asumsi!$D$113</f>
        <v>2537510</v>
      </c>
      <c r="AB65" s="64" t="n">
        <f aca="false">SUM(D65:O65)</f>
        <v>30450120</v>
      </c>
      <c r="AC65" s="64" t="n">
        <f aca="false">SUM(P65:AA65)</f>
        <v>30450120</v>
      </c>
      <c r="AD65" s="64" t="n">
        <f aca="false">SUM(C65:AA65)</f>
        <v>68512770</v>
      </c>
    </row>
    <row r="66" customFormat="false" ht="15" hidden="false" customHeight="false" outlineLevel="0" collapsed="false">
      <c r="A66" s="4" t="s">
        <v>713</v>
      </c>
      <c r="B66" s="2" t="s">
        <v>46</v>
      </c>
      <c r="D66" s="9" t="n">
        <f aca="false">Asumsi!$D$117</f>
        <v>10000000</v>
      </c>
      <c r="E66" s="9" t="n">
        <f aca="false">Asumsi!$D$117</f>
        <v>10000000</v>
      </c>
      <c r="F66" s="9" t="n">
        <f aca="false">Asumsi!$D$117</f>
        <v>10000000</v>
      </c>
      <c r="G66" s="9" t="n">
        <f aca="false">Asumsi!$D$117</f>
        <v>10000000</v>
      </c>
      <c r="H66" s="9" t="n">
        <f aca="false">Asumsi!$D$117</f>
        <v>10000000</v>
      </c>
      <c r="I66" s="9" t="n">
        <f aca="false">Asumsi!$D$117</f>
        <v>10000000</v>
      </c>
      <c r="J66" s="9" t="n">
        <f aca="false">Asumsi!$D$117</f>
        <v>10000000</v>
      </c>
      <c r="K66" s="9" t="n">
        <f aca="false">Asumsi!$D$117</f>
        <v>10000000</v>
      </c>
      <c r="L66" s="9" t="n">
        <f aca="false">Asumsi!$D$117</f>
        <v>10000000</v>
      </c>
      <c r="M66" s="9" t="n">
        <f aca="false">Asumsi!$D$117</f>
        <v>10000000</v>
      </c>
      <c r="N66" s="9" t="n">
        <f aca="false">Asumsi!$D$117</f>
        <v>10000000</v>
      </c>
      <c r="O66" s="9" t="n">
        <f aca="false">Asumsi!$D$117</f>
        <v>10000000</v>
      </c>
      <c r="P66" s="9" t="n">
        <f aca="false">Asumsi!$D$117</f>
        <v>10000000</v>
      </c>
      <c r="Q66" s="9" t="n">
        <f aca="false">Asumsi!$D$117</f>
        <v>10000000</v>
      </c>
      <c r="R66" s="9" t="n">
        <f aca="false">Asumsi!$D$117</f>
        <v>10000000</v>
      </c>
      <c r="S66" s="9" t="n">
        <f aca="false">Asumsi!$D$117</f>
        <v>10000000</v>
      </c>
      <c r="T66" s="9" t="n">
        <f aca="false">Asumsi!$D$117</f>
        <v>10000000</v>
      </c>
      <c r="U66" s="9" t="n">
        <f aca="false">Asumsi!$D$117</f>
        <v>10000000</v>
      </c>
      <c r="V66" s="9" t="n">
        <f aca="false">Asumsi!$D$117</f>
        <v>10000000</v>
      </c>
      <c r="W66" s="9" t="n">
        <f aca="false">Asumsi!$D$117</f>
        <v>10000000</v>
      </c>
      <c r="X66" s="9" t="n">
        <f aca="false">Asumsi!$D$117</f>
        <v>10000000</v>
      </c>
      <c r="Y66" s="9" t="n">
        <f aca="false">Asumsi!$D$117</f>
        <v>10000000</v>
      </c>
      <c r="Z66" s="9" t="n">
        <f aca="false">Asumsi!$D$117</f>
        <v>10000000</v>
      </c>
      <c r="AA66" s="9" t="n">
        <f aca="false">Asumsi!$D$117</f>
        <v>10000000</v>
      </c>
      <c r="AB66" s="64" t="n">
        <f aca="false">SUM(D66:O66)</f>
        <v>120000000</v>
      </c>
      <c r="AC66" s="64" t="n">
        <f aca="false">SUM(P66:AA66)</f>
        <v>120000000</v>
      </c>
      <c r="AD66" s="64" t="n">
        <f aca="false">SUM(C66:AA66)</f>
        <v>240000000</v>
      </c>
    </row>
    <row r="67" customFormat="false" ht="15" hidden="false" customHeight="false" outlineLevel="0" collapsed="false">
      <c r="A67" s="4" t="s">
        <v>714</v>
      </c>
      <c r="B67" s="2" t="s">
        <v>46</v>
      </c>
      <c r="D67" s="9" t="n">
        <f aca="false">Asumsi!$D$118</f>
        <v>2500000</v>
      </c>
      <c r="E67" s="9" t="n">
        <f aca="false">Asumsi!$D$118</f>
        <v>2500000</v>
      </c>
      <c r="F67" s="9" t="n">
        <f aca="false">Asumsi!$D$118</f>
        <v>2500000</v>
      </c>
      <c r="G67" s="9" t="n">
        <f aca="false">Asumsi!$D$118</f>
        <v>2500000</v>
      </c>
      <c r="H67" s="9" t="n">
        <f aca="false">Asumsi!$D$118</f>
        <v>2500000</v>
      </c>
      <c r="I67" s="9" t="n">
        <f aca="false">Asumsi!$D$118</f>
        <v>2500000</v>
      </c>
      <c r="J67" s="9" t="n">
        <f aca="false">Asumsi!$D$118</f>
        <v>2500000</v>
      </c>
      <c r="K67" s="9" t="n">
        <f aca="false">Asumsi!$D$118</f>
        <v>2500000</v>
      </c>
      <c r="L67" s="9" t="n">
        <f aca="false">Asumsi!$D$118</f>
        <v>2500000</v>
      </c>
      <c r="M67" s="9" t="n">
        <f aca="false">Asumsi!$D$118</f>
        <v>2500000</v>
      </c>
      <c r="N67" s="9" t="n">
        <f aca="false">Asumsi!$D$118</f>
        <v>2500000</v>
      </c>
      <c r="O67" s="9" t="n">
        <f aca="false">Asumsi!$D$118</f>
        <v>2500000</v>
      </c>
      <c r="P67" s="9" t="n">
        <f aca="false">Asumsi!$D$118</f>
        <v>2500000</v>
      </c>
      <c r="Q67" s="9" t="n">
        <f aca="false">Asumsi!$D$118</f>
        <v>2500000</v>
      </c>
      <c r="R67" s="9" t="n">
        <f aca="false">Asumsi!$D$118</f>
        <v>2500000</v>
      </c>
      <c r="S67" s="9" t="n">
        <f aca="false">Asumsi!$D$118</f>
        <v>2500000</v>
      </c>
      <c r="T67" s="9" t="n">
        <f aca="false">Asumsi!$D$118</f>
        <v>2500000</v>
      </c>
      <c r="U67" s="9" t="n">
        <f aca="false">Asumsi!$D$118</f>
        <v>2500000</v>
      </c>
      <c r="V67" s="9" t="n">
        <f aca="false">Asumsi!$D$118</f>
        <v>2500000</v>
      </c>
      <c r="W67" s="9" t="n">
        <f aca="false">Asumsi!$D$118</f>
        <v>2500000</v>
      </c>
      <c r="X67" s="9" t="n">
        <f aca="false">Asumsi!$D$118</f>
        <v>2500000</v>
      </c>
      <c r="Y67" s="9" t="n">
        <f aca="false">Asumsi!$D$118</f>
        <v>2500000</v>
      </c>
      <c r="Z67" s="9" t="n">
        <f aca="false">Asumsi!$D$118</f>
        <v>2500000</v>
      </c>
      <c r="AA67" s="9" t="n">
        <f aca="false">Asumsi!$D$118</f>
        <v>2500000</v>
      </c>
      <c r="AB67" s="64" t="n">
        <f aca="false">SUM(D67:O67)</f>
        <v>30000000</v>
      </c>
      <c r="AC67" s="64" t="n">
        <f aca="false">SUM(P67:AA67)</f>
        <v>30000000</v>
      </c>
      <c r="AD67" s="64" t="n">
        <f aca="false">SUM(C67:AA67)</f>
        <v>60000000</v>
      </c>
    </row>
    <row r="68" customFormat="false" ht="15" hidden="false" customHeight="false" outlineLevel="0" collapsed="false">
      <c r="A68" s="4" t="s">
        <v>715</v>
      </c>
      <c r="B68" s="2" t="s">
        <v>46</v>
      </c>
      <c r="C68" s="9" t="n">
        <f aca="false">(Asumsi!$D$120+Asumsi!$D$121)*Asumsi!$D$12</f>
        <v>2221708</v>
      </c>
      <c r="D68" s="9" t="n">
        <f aca="false">IF(MOD(D$5,12)=0,Asumsi!$D$121*Asumsi!$D$12,0)</f>
        <v>0</v>
      </c>
      <c r="E68" s="9" t="n">
        <f aca="false">IF(MOD(E$5,12)=0,Asumsi!$D$121*Asumsi!$D$12,0)</f>
        <v>0</v>
      </c>
      <c r="F68" s="9" t="n">
        <f aca="false">IF(MOD(F$5,12)=0,Asumsi!$D$121*Asumsi!$D$12,0)</f>
        <v>0</v>
      </c>
      <c r="G68" s="9" t="n">
        <f aca="false">IF(MOD(G$5,12)=0,Asumsi!$D$121*Asumsi!$D$12,0)</f>
        <v>0</v>
      </c>
      <c r="H68" s="9" t="n">
        <f aca="false">IF(MOD(H$5,12)=0,Asumsi!$D$121*Asumsi!$D$12,0)</f>
        <v>0</v>
      </c>
      <c r="I68" s="9" t="n">
        <f aca="false">IF(MOD(I$5,12)=0,Asumsi!$D$121*Asumsi!$D$12,0)</f>
        <v>0</v>
      </c>
      <c r="J68" s="9" t="n">
        <f aca="false">IF(MOD(J$5,12)=0,Asumsi!$D$121*Asumsi!$D$12,0)</f>
        <v>0</v>
      </c>
      <c r="K68" s="9" t="n">
        <f aca="false">IF(MOD(K$5,12)=0,Asumsi!$D$121*Asumsi!$D$12,0)</f>
        <v>0</v>
      </c>
      <c r="L68" s="9" t="n">
        <f aca="false">IF(MOD(L$5,12)=0,Asumsi!$D$121*Asumsi!$D$12,0)</f>
        <v>0</v>
      </c>
      <c r="M68" s="9" t="n">
        <f aca="false">IF(MOD(M$5,12)=0,Asumsi!$D$121*Asumsi!$D$12,0)</f>
        <v>0</v>
      </c>
      <c r="N68" s="9" t="n">
        <f aca="false">IF(MOD(N$5,12)=0,Asumsi!$D$121*Asumsi!$D$12,0)</f>
        <v>0</v>
      </c>
      <c r="O68" s="9" t="n">
        <f aca="false">IF(MOD(O$5,12)=0,Asumsi!$D$121*Asumsi!$D$12,0)</f>
        <v>1773783</v>
      </c>
      <c r="P68" s="9" t="n">
        <f aca="false">IF(MOD(P$5,12)=0,Asumsi!$D$121*Asumsi!$D$12,0)</f>
        <v>0</v>
      </c>
      <c r="Q68" s="9" t="n">
        <f aca="false">IF(MOD(Q$5,12)=0,Asumsi!$D$121*Asumsi!$D$12,0)</f>
        <v>0</v>
      </c>
      <c r="R68" s="9" t="n">
        <f aca="false">IF(MOD(R$5,12)=0,Asumsi!$D$121*Asumsi!$D$12,0)</f>
        <v>0</v>
      </c>
      <c r="S68" s="9" t="n">
        <f aca="false">IF(MOD(S$5,12)=0,Asumsi!$D$121*Asumsi!$D$12,0)</f>
        <v>0</v>
      </c>
      <c r="T68" s="9" t="n">
        <f aca="false">IF(MOD(T$5,12)=0,Asumsi!$D$121*Asumsi!$D$12,0)</f>
        <v>0</v>
      </c>
      <c r="U68" s="9" t="n">
        <f aca="false">IF(MOD(U$5,12)=0,Asumsi!$D$121*Asumsi!$D$12,0)</f>
        <v>0</v>
      </c>
      <c r="V68" s="9" t="n">
        <f aca="false">IF(MOD(V$5,12)=0,Asumsi!$D$121*Asumsi!$D$12,0)</f>
        <v>0</v>
      </c>
      <c r="W68" s="9" t="n">
        <f aca="false">IF(MOD(W$5,12)=0,Asumsi!$D$121*Asumsi!$D$12,0)</f>
        <v>0</v>
      </c>
      <c r="X68" s="9" t="n">
        <f aca="false">IF(MOD(X$5,12)=0,Asumsi!$D$121*Asumsi!$D$12,0)</f>
        <v>0</v>
      </c>
      <c r="Y68" s="9" t="n">
        <f aca="false">IF(MOD(Y$5,12)=0,Asumsi!$D$121*Asumsi!$D$12,0)</f>
        <v>0</v>
      </c>
      <c r="Z68" s="9" t="n">
        <f aca="false">IF(MOD(Z$5,12)=0,Asumsi!$D$121*Asumsi!$D$12,0)</f>
        <v>0</v>
      </c>
      <c r="AA68" s="9" t="n">
        <f aca="false">IF(MOD(AA$5,12)=0,Asumsi!$D$121*Asumsi!$D$12,0)</f>
        <v>1773783</v>
      </c>
      <c r="AB68" s="64" t="n">
        <f aca="false">SUM(D68:O68)</f>
        <v>1773783</v>
      </c>
      <c r="AC68" s="64" t="n">
        <f aca="false">SUM(P68:AA68)</f>
        <v>1773783</v>
      </c>
      <c r="AD68" s="64" t="n">
        <f aca="false">SUM(C68:AA68)</f>
        <v>5769274</v>
      </c>
    </row>
    <row r="69" customFormat="false" ht="15" hidden="false" customHeight="false" outlineLevel="0" collapsed="false">
      <c r="A69" s="4" t="s">
        <v>716</v>
      </c>
      <c r="B69" s="2" t="s">
        <v>46</v>
      </c>
      <c r="C69" s="9" t="n">
        <f aca="false">Asumsi!$D$123+Asumsi!$D$124+Asumsi!$D$125+Asumsi!$D$126+Asumsi!$D$127+Asumsi!$D$128+Asumsi!$D$129+Asumsi!$D$130</f>
        <v>225000000</v>
      </c>
      <c r="D69" s="9" t="n">
        <f aca="false">IF(D$5=13,Asumsi!$D$131,0)</f>
        <v>0</v>
      </c>
      <c r="E69" s="9" t="n">
        <f aca="false">IF(E$5=13,Asumsi!$D$131,0)</f>
        <v>0</v>
      </c>
      <c r="F69" s="9" t="n">
        <f aca="false">IF(F$5=13,Asumsi!$D$131,0)</f>
        <v>0</v>
      </c>
      <c r="G69" s="9" t="n">
        <f aca="false">IF(G$5=13,Asumsi!$D$131,0)</f>
        <v>0</v>
      </c>
      <c r="H69" s="9" t="n">
        <f aca="false">IF(H$5=13,Asumsi!$D$131,0)</f>
        <v>0</v>
      </c>
      <c r="I69" s="9" t="n">
        <f aca="false">IF(I$5=13,Asumsi!$D$131,0)</f>
        <v>0</v>
      </c>
      <c r="J69" s="9" t="n">
        <f aca="false">IF(J$5=13,Asumsi!$D$131,0)</f>
        <v>0</v>
      </c>
      <c r="K69" s="9" t="n">
        <f aca="false">IF(K$5=13,Asumsi!$D$131,0)</f>
        <v>0</v>
      </c>
      <c r="L69" s="9" t="n">
        <f aca="false">IF(L$5=13,Asumsi!$D$131,0)</f>
        <v>0</v>
      </c>
      <c r="M69" s="9" t="n">
        <f aca="false">IF(M$5=13,Asumsi!$D$131,0)</f>
        <v>0</v>
      </c>
      <c r="N69" s="9" t="n">
        <f aca="false">IF(N$5=13,Asumsi!$D$131,0)</f>
        <v>0</v>
      </c>
      <c r="O69" s="9" t="n">
        <f aca="false">IF(O$5=13,Asumsi!$D$131,0)</f>
        <v>0</v>
      </c>
      <c r="P69" s="9" t="n">
        <f aca="false">IF(P$5=13,Asumsi!$D$131,0)</f>
        <v>35000000</v>
      </c>
      <c r="Q69" s="9" t="n">
        <f aca="false">IF(Q$5=13,Asumsi!$D$131,0)</f>
        <v>0</v>
      </c>
      <c r="R69" s="9" t="n">
        <f aca="false">IF(R$5=13,Asumsi!$D$131,0)</f>
        <v>0</v>
      </c>
      <c r="S69" s="9" t="n">
        <f aca="false">IF(S$5=13,Asumsi!$D$131,0)</f>
        <v>0</v>
      </c>
      <c r="T69" s="9" t="n">
        <f aca="false">IF(T$5=13,Asumsi!$D$131,0)</f>
        <v>0</v>
      </c>
      <c r="U69" s="9" t="n">
        <f aca="false">IF(U$5=13,Asumsi!$D$131,0)</f>
        <v>0</v>
      </c>
      <c r="V69" s="9" t="n">
        <f aca="false">IF(V$5=13,Asumsi!$D$131,0)</f>
        <v>0</v>
      </c>
      <c r="W69" s="9" t="n">
        <f aca="false">IF(W$5=13,Asumsi!$D$131,0)</f>
        <v>0</v>
      </c>
      <c r="X69" s="9" t="n">
        <f aca="false">IF(X$5=13,Asumsi!$D$131,0)</f>
        <v>0</v>
      </c>
      <c r="Y69" s="9" t="n">
        <f aca="false">IF(Y$5=13,Asumsi!$D$131,0)</f>
        <v>0</v>
      </c>
      <c r="Z69" s="9" t="n">
        <f aca="false">IF(Z$5=13,Asumsi!$D$131,0)</f>
        <v>0</v>
      </c>
      <c r="AA69" s="9" t="n">
        <f aca="false">IF(AA$5=13,Asumsi!$D$131,0)</f>
        <v>0</v>
      </c>
      <c r="AB69" s="64" t="n">
        <f aca="false">SUM(D69:O69)</f>
        <v>0</v>
      </c>
      <c r="AC69" s="64" t="n">
        <f aca="false">SUM(P69:AA69)</f>
        <v>35000000</v>
      </c>
      <c r="AD69" s="64" t="n">
        <f aca="false">SUM(C69:AA69)</f>
        <v>260000000</v>
      </c>
    </row>
    <row r="70" customFormat="false" ht="15" hidden="false" customHeight="false" outlineLevel="0" collapsed="false">
      <c r="A70" s="4" t="s">
        <v>717</v>
      </c>
      <c r="B70" s="2" t="s">
        <v>46</v>
      </c>
      <c r="C70" s="9" t="n">
        <f aca="false">Asumsi!$D$119*(C64+C65+C66+C67)</f>
        <v>22361253</v>
      </c>
      <c r="D70" s="9" t="n">
        <f aca="false">Asumsi!$D$119*(D64+D65+D66+D67)</f>
        <v>8703751</v>
      </c>
      <c r="E70" s="9" t="n">
        <f aca="false">Asumsi!$D$119*(E64+E65+E66+E67)</f>
        <v>8703751</v>
      </c>
      <c r="F70" s="9" t="n">
        <f aca="false">Asumsi!$D$119*(F64+F65+F66+F67)</f>
        <v>8703751</v>
      </c>
      <c r="G70" s="9" t="n">
        <f aca="false">Asumsi!$D$119*(G64+G65+G66+G67)</f>
        <v>8703751</v>
      </c>
      <c r="H70" s="9" t="n">
        <f aca="false">Asumsi!$D$119*(H64+H65+H66+H67)</f>
        <v>8703751</v>
      </c>
      <c r="I70" s="9" t="n">
        <f aca="false">Asumsi!$D$119*(I64+I65+I66+I67)</f>
        <v>8703751</v>
      </c>
      <c r="J70" s="9" t="n">
        <f aca="false">Asumsi!$D$119*(J64+J65+J66+J67)</f>
        <v>8703751</v>
      </c>
      <c r="K70" s="9" t="n">
        <f aca="false">Asumsi!$D$119*(K64+K65+K66+K67)</f>
        <v>8703751</v>
      </c>
      <c r="L70" s="9" t="n">
        <f aca="false">Asumsi!$D$119*(L64+L65+L66+L67)</f>
        <v>8703751</v>
      </c>
      <c r="M70" s="9" t="n">
        <f aca="false">Asumsi!$D$119*(M64+M65+M66+M67)</f>
        <v>8703751</v>
      </c>
      <c r="N70" s="9" t="n">
        <f aca="false">Asumsi!$D$119*(N64+N65+N66+N67)</f>
        <v>8703751</v>
      </c>
      <c r="O70" s="9" t="n">
        <f aca="false">Asumsi!$D$119*(O64+O65+O66+O67)</f>
        <v>8703751</v>
      </c>
      <c r="P70" s="9" t="n">
        <f aca="false">Asumsi!$D$119*(P64+P65+P66+P67)</f>
        <v>11703751</v>
      </c>
      <c r="Q70" s="9" t="n">
        <f aca="false">Asumsi!$D$119*(Q64+Q65+Q66+Q67)</f>
        <v>11703751</v>
      </c>
      <c r="R70" s="9" t="n">
        <f aca="false">Asumsi!$D$119*(R64+R65+R66+R67)</f>
        <v>11703751</v>
      </c>
      <c r="S70" s="9" t="n">
        <f aca="false">Asumsi!$D$119*(S64+S65+S66+S67)</f>
        <v>11703751</v>
      </c>
      <c r="T70" s="9" t="n">
        <f aca="false">Asumsi!$D$119*(T64+T65+T66+T67)</f>
        <v>11703751</v>
      </c>
      <c r="U70" s="9" t="n">
        <f aca="false">Asumsi!$D$119*(U64+U65+U66+U67)</f>
        <v>11703751</v>
      </c>
      <c r="V70" s="9" t="n">
        <f aca="false">Asumsi!$D$119*(V64+V65+V66+V67)</f>
        <v>11703751</v>
      </c>
      <c r="W70" s="9" t="n">
        <f aca="false">Asumsi!$D$119*(W64+W65+W66+W67)</f>
        <v>11703751</v>
      </c>
      <c r="X70" s="9" t="n">
        <f aca="false">Asumsi!$D$119*(X64+X65+X66+X67)</f>
        <v>11703751</v>
      </c>
      <c r="Y70" s="9" t="n">
        <f aca="false">Asumsi!$D$119*(Y64+Y65+Y66+Y67)</f>
        <v>11703751</v>
      </c>
      <c r="Z70" s="9" t="n">
        <f aca="false">Asumsi!$D$119*(Z64+Z65+Z66+Z67)</f>
        <v>11703751</v>
      </c>
      <c r="AA70" s="9" t="n">
        <f aca="false">Asumsi!$D$119*(AA64+AA65+AA66+AA67)</f>
        <v>11703751</v>
      </c>
      <c r="AB70" s="64" t="n">
        <f aca="false">SUM(D70:O70)</f>
        <v>104445012</v>
      </c>
      <c r="AC70" s="64" t="n">
        <f aca="false">SUM(P70:AA70)</f>
        <v>140445012</v>
      </c>
      <c r="AD70" s="64" t="n">
        <f aca="false">SUM(C70:AA70)</f>
        <v>267251277</v>
      </c>
    </row>
    <row r="71" customFormat="false" ht="15" hidden="false" customHeight="false" outlineLevel="0" collapsed="false">
      <c r="A71" s="25" t="s">
        <v>718</v>
      </c>
      <c r="B71" s="2" t="s">
        <v>46</v>
      </c>
      <c r="C71" s="64" t="n">
        <f aca="false">SUM(C63:C70)</f>
        <v>473195491</v>
      </c>
      <c r="D71" s="64" t="n">
        <f aca="false">SUM(D63:D70)</f>
        <v>100741261</v>
      </c>
      <c r="E71" s="64" t="n">
        <f aca="false">SUM(E63:E70)</f>
        <v>100741261</v>
      </c>
      <c r="F71" s="64" t="n">
        <f aca="false">SUM(F63:F70)</f>
        <v>100741261</v>
      </c>
      <c r="G71" s="64" t="n">
        <f aca="false">SUM(G63:G70)</f>
        <v>120741261</v>
      </c>
      <c r="H71" s="64" t="n">
        <f aca="false">SUM(H63:H70)</f>
        <v>120741261</v>
      </c>
      <c r="I71" s="64" t="n">
        <f aca="false">SUM(I63:I70)</f>
        <v>120741261</v>
      </c>
      <c r="J71" s="64" t="n">
        <f aca="false">SUM(J63:J70)</f>
        <v>120741261</v>
      </c>
      <c r="K71" s="64" t="n">
        <f aca="false">SUM(K63:K70)</f>
        <v>120741261</v>
      </c>
      <c r="L71" s="64" t="n">
        <f aca="false">SUM(L63:L70)</f>
        <v>120741261</v>
      </c>
      <c r="M71" s="64" t="n">
        <f aca="false">SUM(M63:M70)</f>
        <v>120741261</v>
      </c>
      <c r="N71" s="64" t="n">
        <f aca="false">SUM(N63:N70)</f>
        <v>120741261</v>
      </c>
      <c r="O71" s="64" t="n">
        <f aca="false">SUM(O63:O70)</f>
        <v>122515044</v>
      </c>
      <c r="P71" s="64" t="n">
        <f aca="false">SUM(P63:P70)</f>
        <v>198741261</v>
      </c>
      <c r="Q71" s="64" t="n">
        <f aca="false">SUM(Q63:Q70)</f>
        <v>163741261</v>
      </c>
      <c r="R71" s="64" t="n">
        <f aca="false">SUM(R63:R70)</f>
        <v>163741261</v>
      </c>
      <c r="S71" s="64" t="n">
        <f aca="false">SUM(S63:S70)</f>
        <v>163741261</v>
      </c>
      <c r="T71" s="64" t="n">
        <f aca="false">SUM(T63:T70)</f>
        <v>163741261</v>
      </c>
      <c r="U71" s="64" t="n">
        <f aca="false">SUM(U63:U70)</f>
        <v>163741261</v>
      </c>
      <c r="V71" s="64" t="n">
        <f aca="false">SUM(V63:V70)</f>
        <v>163741261</v>
      </c>
      <c r="W71" s="64" t="n">
        <f aca="false">SUM(W63:W70)</f>
        <v>163741261</v>
      </c>
      <c r="X71" s="64" t="n">
        <f aca="false">SUM(X63:X70)</f>
        <v>163741261</v>
      </c>
      <c r="Y71" s="64" t="n">
        <f aca="false">SUM(Y63:Y70)</f>
        <v>163741261</v>
      </c>
      <c r="Z71" s="64" t="n">
        <f aca="false">SUM(Z63:Z70)</f>
        <v>163741261</v>
      </c>
      <c r="AA71" s="64" t="n">
        <f aca="false">SUM(AA63:AA70)</f>
        <v>165515044</v>
      </c>
      <c r="AB71" s="64" t="n">
        <f aca="false">SUM(D71:O71)</f>
        <v>1390668915</v>
      </c>
      <c r="AC71" s="64" t="n">
        <f aca="false">SUM(P71:AA71)</f>
        <v>2001668915</v>
      </c>
      <c r="AD71" s="64" t="n">
        <f aca="false">SUM(C71:AA71)</f>
        <v>3865533321</v>
      </c>
    </row>
    <row r="72" customFormat="false" ht="15" hidden="false" customHeight="false" outlineLevel="0" collapsed="false">
      <c r="A72" s="7" t="s">
        <v>719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customFormat="false" ht="15" hidden="false" customHeight="false" outlineLevel="0" collapsed="false">
      <c r="A73" s="25" t="s">
        <v>720</v>
      </c>
      <c r="B73" s="2" t="s">
        <v>46</v>
      </c>
      <c r="C73" s="64" t="n">
        <f aca="false">C60-C71</f>
        <v>-474726075.57</v>
      </c>
      <c r="D73" s="64" t="n">
        <f aca="false">D60-D71</f>
        <v>-101511935.766266</v>
      </c>
      <c r="E73" s="64" t="n">
        <f aca="false">E60-E71</f>
        <v>-101467711.288067</v>
      </c>
      <c r="F73" s="64" t="n">
        <f aca="false">F60-F71</f>
        <v>-101427820.097034</v>
      </c>
      <c r="G73" s="64" t="n">
        <f aca="false">G60-G71</f>
        <v>-122747402.061046</v>
      </c>
      <c r="H73" s="64" t="n">
        <f aca="false">H60-H71</f>
        <v>-122716782.782203</v>
      </c>
      <c r="I73" s="64" t="n">
        <f aca="false">I60-I71</f>
        <v>-122689298.455778</v>
      </c>
      <c r="J73" s="64" t="n">
        <f aca="false">J60-J71</f>
        <v>-122237167.953685</v>
      </c>
      <c r="K73" s="64" t="n">
        <f aca="false">K60-K71</f>
        <v>-122168118.710485</v>
      </c>
      <c r="L73" s="64" t="n">
        <f aca="false">L60-L71</f>
        <v>-122100816.356444</v>
      </c>
      <c r="M73" s="64" t="n">
        <f aca="false">M60-M71</f>
        <v>-122034935.249321</v>
      </c>
      <c r="N73" s="64" t="n">
        <f aca="false">N60-N71</f>
        <v>-121970190.698244</v>
      </c>
      <c r="O73" s="64" t="n">
        <f aca="false">O60-O71</f>
        <v>-123680116.854243</v>
      </c>
      <c r="P73" s="64" t="n">
        <f aca="false">P60-P71</f>
        <v>-200521023.810554</v>
      </c>
      <c r="Q73" s="64" t="n">
        <f aca="false">Q60-Q71</f>
        <v>-165460600.346976</v>
      </c>
      <c r="R73" s="64" t="n">
        <f aca="false">R60-R71</f>
        <v>-165400401.560032</v>
      </c>
      <c r="S73" s="64" t="n">
        <f aca="false">S60-S71</f>
        <v>-165340283.944591</v>
      </c>
      <c r="T73" s="64" t="n">
        <f aca="false">T60-T71</f>
        <v>-165280119.771629</v>
      </c>
      <c r="U73" s="64" t="n">
        <f aca="false">U60-U71</f>
        <v>-165219794.855976</v>
      </c>
      <c r="V73" s="64" t="n">
        <f aca="false">V60-V71</f>
        <v>-165159206.664083</v>
      </c>
      <c r="W73" s="64" t="n">
        <f aca="false">W60-W71</f>
        <v>-165098262.721257</v>
      </c>
      <c r="X73" s="64" t="n">
        <f aca="false">X60-X71</f>
        <v>-165036879.279845</v>
      </c>
      <c r="Y73" s="64" t="n">
        <f aca="false">Y60-Y71</f>
        <v>-164974980.213135</v>
      </c>
      <c r="Z73" s="64" t="n">
        <f aca="false">Z60-Z71</f>
        <v>-164912496.103497</v>
      </c>
      <c r="AA73" s="64" t="n">
        <f aca="false">AA60-AA71</f>
        <v>-166623146.497173</v>
      </c>
      <c r="AB73" s="64" t="n">
        <f aca="false">SUM(D73:O73)</f>
        <v>-1406752296.27282</v>
      </c>
      <c r="AC73" s="64" t="n">
        <f aca="false">SUM(P73:AA73)</f>
        <v>-2019027195.76875</v>
      </c>
      <c r="AD73" s="64" t="n">
        <f aca="false">SUM(C73:AA73)</f>
        <v>-3900505567.61156</v>
      </c>
    </row>
    <row r="74" customFormat="false" ht="15" hidden="false" customHeight="false" outlineLevel="0" collapsed="false">
      <c r="A74" s="4" t="s">
        <v>721</v>
      </c>
      <c r="B74" s="2" t="s">
        <v>46</v>
      </c>
      <c r="D74" s="9" t="n">
        <f aca="false">IF(Asumsi!$D$13&gt;=1,C47-D47,0)</f>
        <v>-1680506.25</v>
      </c>
      <c r="E74" s="9" t="n">
        <f aca="false">IF(Asumsi!$D$13&gt;=1,D47-E47,0)</f>
        <v>-526916.168232495</v>
      </c>
      <c r="F74" s="9" t="n">
        <f aca="false">IF(Asumsi!$D$13&gt;=1,E47-F47,0)</f>
        <v>-523758.289988211</v>
      </c>
      <c r="G74" s="9" t="n">
        <f aca="false">IF(Asumsi!$D$13&gt;=1,F47-G47,0)</f>
        <v>-521933.447983479</v>
      </c>
      <c r="H74" s="9" t="n">
        <f aca="false">IF(Asumsi!$D$13&gt;=1,G47-H47,0)</f>
        <v>-520231.95263464</v>
      </c>
      <c r="I74" s="9" t="n">
        <f aca="false">IF(Asumsi!$D$13&gt;=1,H47-I47,0)</f>
        <v>-520724.973452378</v>
      </c>
      <c r="J74" s="9" t="n">
        <f aca="false">IF(Asumsi!$D$13&gt;=1,I47-J47,0)</f>
        <v>-949805.527392943</v>
      </c>
      <c r="K74" s="9" t="n">
        <f aca="false">IF(Asumsi!$D$13&gt;=1,J47-K47,0)</f>
        <v>-571987.351068197</v>
      </c>
      <c r="L74" s="9" t="n">
        <f aca="false">IF(Asumsi!$D$13&gt;=1,K47-L47,0)</f>
        <v>-576354.781227792</v>
      </c>
      <c r="M74" s="9" t="n">
        <f aca="false">IF(Asumsi!$D$13&gt;=1,L47-M47,0)</f>
        <v>-581921.327583203</v>
      </c>
      <c r="N74" s="9" t="n">
        <f aca="false">IF(Asumsi!$D$13&gt;=1,M47-N47,0)</f>
        <v>-588667.770433205</v>
      </c>
      <c r="O74" s="9" t="n">
        <f aca="false">IF(Asumsi!$D$13&gt;=1,N47-O47,0)</f>
        <v>-596579.501249133</v>
      </c>
      <c r="P74" s="9" t="n">
        <f aca="false">IF(Asumsi!$D$13&gt;=1,O47-P47,0)</f>
        <v>-605646.352141895</v>
      </c>
      <c r="Q74" s="9" t="n">
        <f aca="false">IF(Asumsi!$D$13&gt;=1,P47-Q47,0)</f>
        <v>-614744.004501937</v>
      </c>
      <c r="R74" s="9" t="n">
        <f aca="false">IF(Asumsi!$D$13&gt;=1,Q47-R47,0)</f>
        <v>-626149.199900713</v>
      </c>
      <c r="S74" s="9" t="n">
        <f aca="false">IF(Asumsi!$D$13&gt;=1,R47-S47,0)</f>
        <v>-638700.679538451</v>
      </c>
      <c r="T74" s="9" t="n">
        <f aca="false">IF(Asumsi!$D$13&gt;=1,S47-T47,0)</f>
        <v>-652404.033767097</v>
      </c>
      <c r="U74" s="9" t="n">
        <f aca="false">IF(Asumsi!$D$13&gt;=1,T47-U47,0)</f>
        <v>-667268.016722575</v>
      </c>
      <c r="V74" s="9" t="n">
        <f aca="false">IF(Asumsi!$D$13&gt;=1,U47-V47,0)</f>
        <v>-683304.388406221</v>
      </c>
      <c r="W74" s="9" t="n">
        <f aca="false">IF(Asumsi!$D$13&gt;=1,V47-W47,0)</f>
        <v>-700527.780805295</v>
      </c>
      <c r="X74" s="9" t="n">
        <f aca="false">IF(Asumsi!$D$13&gt;=1,W47-X47,0)</f>
        <v>-718955.587032409</v>
      </c>
      <c r="Y74" s="9" t="n">
        <f aca="false">IF(Asumsi!$D$13&gt;=1,X47-Y47,0)</f>
        <v>-738607.871876914</v>
      </c>
      <c r="Z74" s="9" t="n">
        <f aca="false">IF(Asumsi!$D$13&gt;=1,Y47-Z47,0)</f>
        <v>-759507.301917994</v>
      </c>
      <c r="AA74" s="9" t="n">
        <f aca="false">IF(Asumsi!$D$13&gt;=1,Z47-AA47,0)</f>
        <v>-781679.093316156</v>
      </c>
      <c r="AB74" s="64" t="n">
        <f aca="false">SUM(D74:O74)</f>
        <v>-8159387.34124567</v>
      </c>
      <c r="AC74" s="64" t="n">
        <f aca="false">SUM(P74:AA74)</f>
        <v>-8187494.30992766</v>
      </c>
      <c r="AD74" s="64" t="n">
        <f aca="false">SUM(C74:AA74)</f>
        <v>-16346881.6511733</v>
      </c>
    </row>
    <row r="75" customFormat="false" ht="15" hidden="false" customHeight="false" outlineLevel="0" collapsed="false">
      <c r="A75" s="4" t="s">
        <v>722</v>
      </c>
      <c r="B75" s="2" t="s">
        <v>46</v>
      </c>
      <c r="C75" s="36" t="n">
        <f aca="false">C73+C74</f>
        <v>-474726075.57</v>
      </c>
      <c r="D75" s="36" t="n">
        <f aca="false">D73+D74</f>
        <v>-103192442.016266</v>
      </c>
      <c r="E75" s="36" t="n">
        <f aca="false">E73+E74</f>
        <v>-101994627.456299</v>
      </c>
      <c r="F75" s="36" t="n">
        <f aca="false">F73+F74</f>
        <v>-101951578.387023</v>
      </c>
      <c r="G75" s="36" t="n">
        <f aca="false">G73+G74</f>
        <v>-123269335.509029</v>
      </c>
      <c r="H75" s="36" t="n">
        <f aca="false">H73+H74</f>
        <v>-123237014.734838</v>
      </c>
      <c r="I75" s="36" t="n">
        <f aca="false">I73+I74</f>
        <v>-123210023.42923</v>
      </c>
      <c r="J75" s="36" t="n">
        <f aca="false">J73+J74</f>
        <v>-123186973.481078</v>
      </c>
      <c r="K75" s="36" t="n">
        <f aca="false">K73+K74</f>
        <v>-122740106.061554</v>
      </c>
      <c r="L75" s="36" t="n">
        <f aca="false">L73+L74</f>
        <v>-122677171.137671</v>
      </c>
      <c r="M75" s="36" t="n">
        <f aca="false">M73+M74</f>
        <v>-122616856.576904</v>
      </c>
      <c r="N75" s="36" t="n">
        <f aca="false">N73+N74</f>
        <v>-122558858.468677</v>
      </c>
      <c r="O75" s="36" t="n">
        <f aca="false">O73+O74</f>
        <v>-124276696.355492</v>
      </c>
      <c r="P75" s="36" t="n">
        <f aca="false">P73+P74</f>
        <v>-201126670.162696</v>
      </c>
      <c r="Q75" s="36" t="n">
        <f aca="false">Q73+Q74</f>
        <v>-166075344.351478</v>
      </c>
      <c r="R75" s="36" t="n">
        <f aca="false">R73+R74</f>
        <v>-166026550.759933</v>
      </c>
      <c r="S75" s="36" t="n">
        <f aca="false">S73+S74</f>
        <v>-165978984.62413</v>
      </c>
      <c r="T75" s="36" t="n">
        <f aca="false">T73+T74</f>
        <v>-165932523.805396</v>
      </c>
      <c r="U75" s="36" t="n">
        <f aca="false">U73+U74</f>
        <v>-165887062.872698</v>
      </c>
      <c r="V75" s="36" t="n">
        <f aca="false">V73+V74</f>
        <v>-165842511.052489</v>
      </c>
      <c r="W75" s="36" t="n">
        <f aca="false">W73+W74</f>
        <v>-165798790.502062</v>
      </c>
      <c r="X75" s="36" t="n">
        <f aca="false">X73+X74</f>
        <v>-165755834.866877</v>
      </c>
      <c r="Y75" s="36" t="n">
        <f aca="false">Y73+Y74</f>
        <v>-165713588.085012</v>
      </c>
      <c r="Z75" s="36" t="n">
        <f aca="false">Z73+Z74</f>
        <v>-165672003.405415</v>
      </c>
      <c r="AA75" s="36" t="n">
        <f aca="false">AA73+AA74</f>
        <v>-167404825.590489</v>
      </c>
      <c r="AB75" s="64" t="n">
        <f aca="false">SUM(D75:O75)</f>
        <v>-1414911683.61406</v>
      </c>
      <c r="AC75" s="64" t="n">
        <f aca="false">SUM(P75:AA75)</f>
        <v>-2027214690.07868</v>
      </c>
      <c r="AD75" s="64" t="n">
        <f aca="false">SUM(C75:AA75)</f>
        <v>-3916852449.26274</v>
      </c>
    </row>
    <row r="76" customFormat="false" ht="15" hidden="false" customHeight="false" outlineLevel="0" collapsed="false">
      <c r="A76" s="25" t="s">
        <v>723</v>
      </c>
      <c r="B76" s="2" t="s">
        <v>46</v>
      </c>
      <c r="C76" s="64" t="n">
        <f aca="false">C75</f>
        <v>-474726075.57</v>
      </c>
      <c r="D76" s="64" t="n">
        <f aca="false">C76+D75</f>
        <v>-577918517.586266</v>
      </c>
      <c r="E76" s="64" t="n">
        <f aca="false">D76+E75</f>
        <v>-679913145.042566</v>
      </c>
      <c r="F76" s="64" t="n">
        <f aca="false">E76+F75</f>
        <v>-781864723.429588</v>
      </c>
      <c r="G76" s="64" t="n">
        <f aca="false">F76+G75</f>
        <v>-905134058.938618</v>
      </c>
      <c r="H76" s="64" t="n">
        <f aca="false">G76+H75</f>
        <v>-1028371073.67346</v>
      </c>
      <c r="I76" s="64" t="n">
        <f aca="false">H76+I75</f>
        <v>-1151581097.10269</v>
      </c>
      <c r="J76" s="64" t="n">
        <f aca="false">I76+J75</f>
        <v>-1274768070.58376</v>
      </c>
      <c r="K76" s="64" t="n">
        <f aca="false">J76+K75</f>
        <v>-1397508176.64532</v>
      </c>
      <c r="L76" s="64" t="n">
        <f aca="false">K76+L75</f>
        <v>-1520185347.78299</v>
      </c>
      <c r="M76" s="64" t="n">
        <f aca="false">L76+M75</f>
        <v>-1642802204.35989</v>
      </c>
      <c r="N76" s="64" t="n">
        <f aca="false">M76+N75</f>
        <v>-1765361062.82857</v>
      </c>
      <c r="O76" s="64" t="n">
        <f aca="false">N76+O75</f>
        <v>-1889637759.18406</v>
      </c>
      <c r="P76" s="64" t="n">
        <f aca="false">O76+P75</f>
        <v>-2090764429.34676</v>
      </c>
      <c r="Q76" s="64" t="n">
        <f aca="false">P76+Q75</f>
        <v>-2256839773.69824</v>
      </c>
      <c r="R76" s="64" t="n">
        <f aca="false">Q76+R75</f>
        <v>-2422866324.45817</v>
      </c>
      <c r="S76" s="64" t="n">
        <f aca="false">R76+S75</f>
        <v>-2588845309.0823</v>
      </c>
      <c r="T76" s="64" t="n">
        <f aca="false">S76+T75</f>
        <v>-2754777832.8877</v>
      </c>
      <c r="U76" s="64" t="n">
        <f aca="false">T76+U75</f>
        <v>-2920664895.76039</v>
      </c>
      <c r="V76" s="64" t="n">
        <f aca="false">U76+V75</f>
        <v>-3086507406.81288</v>
      </c>
      <c r="W76" s="64" t="n">
        <f aca="false">V76+W75</f>
        <v>-3252306197.31494</v>
      </c>
      <c r="X76" s="64" t="n">
        <f aca="false">W76+X75</f>
        <v>-3418062032.18182</v>
      </c>
      <c r="Y76" s="64" t="n">
        <f aca="false">X76+Y75</f>
        <v>-3583775620.26683</v>
      </c>
      <c r="Z76" s="64" t="n">
        <f aca="false">Y76+Z75</f>
        <v>-3749447623.67225</v>
      </c>
      <c r="AA76" s="64" t="n">
        <f aca="false">Z76+AA75</f>
        <v>-3916852449.26274</v>
      </c>
      <c r="AB76" s="64" t="n">
        <f aca="false">O76</f>
        <v>-1889637759.18406</v>
      </c>
      <c r="AC76" s="64" t="n">
        <f aca="false">AA76</f>
        <v>-3916852449.26274</v>
      </c>
      <c r="AD76" s="64" t="n">
        <f aca="false">AA76</f>
        <v>-3916852449.26274</v>
      </c>
    </row>
    <row r="77" customFormat="false" ht="15" hidden="false" customHeight="false" outlineLevel="0" collapsed="false">
      <c r="A77" s="4" t="s">
        <v>724</v>
      </c>
      <c r="B77" s="2" t="s">
        <v>81</v>
      </c>
      <c r="D77" s="44" t="n">
        <f aca="false">IF(D73&gt;=0,D$5,999)</f>
        <v>999</v>
      </c>
      <c r="E77" s="44" t="n">
        <f aca="false">IF(E73&gt;=0,E$5,999)</f>
        <v>999</v>
      </c>
      <c r="F77" s="44" t="n">
        <f aca="false">IF(F73&gt;=0,F$5,999)</f>
        <v>999</v>
      </c>
      <c r="G77" s="44" t="n">
        <f aca="false">IF(G73&gt;=0,G$5,999)</f>
        <v>999</v>
      </c>
      <c r="H77" s="44" t="n">
        <f aca="false">IF(H73&gt;=0,H$5,999)</f>
        <v>999</v>
      </c>
      <c r="I77" s="44" t="n">
        <f aca="false">IF(I73&gt;=0,I$5,999)</f>
        <v>999</v>
      </c>
      <c r="J77" s="44" t="n">
        <f aca="false">IF(J73&gt;=0,J$5,999)</f>
        <v>999</v>
      </c>
      <c r="K77" s="44" t="n">
        <f aca="false">IF(K73&gt;=0,K$5,999)</f>
        <v>999</v>
      </c>
      <c r="L77" s="44" t="n">
        <f aca="false">IF(L73&gt;=0,L$5,999)</f>
        <v>999</v>
      </c>
      <c r="M77" s="44" t="n">
        <f aca="false">IF(M73&gt;=0,M$5,999)</f>
        <v>999</v>
      </c>
      <c r="N77" s="44" t="n">
        <f aca="false">IF(N73&gt;=0,N$5,999)</f>
        <v>999</v>
      </c>
      <c r="O77" s="44" t="n">
        <f aca="false">IF(O73&gt;=0,O$5,999)</f>
        <v>999</v>
      </c>
      <c r="P77" s="44" t="n">
        <f aca="false">IF(P73&gt;=0,P$5,999)</f>
        <v>999</v>
      </c>
      <c r="Q77" s="44" t="n">
        <f aca="false">IF(Q73&gt;=0,Q$5,999)</f>
        <v>999</v>
      </c>
      <c r="R77" s="44" t="n">
        <f aca="false">IF(R73&gt;=0,R$5,999)</f>
        <v>999</v>
      </c>
      <c r="S77" s="44" t="n">
        <f aca="false">IF(S73&gt;=0,S$5,999)</f>
        <v>999</v>
      </c>
      <c r="T77" s="44" t="n">
        <f aca="false">IF(T73&gt;=0,T$5,999)</f>
        <v>999</v>
      </c>
      <c r="U77" s="44" t="n">
        <f aca="false">IF(U73&gt;=0,U$5,999)</f>
        <v>999</v>
      </c>
      <c r="V77" s="44" t="n">
        <f aca="false">IF(V73&gt;=0,V$5,999)</f>
        <v>999</v>
      </c>
      <c r="W77" s="44" t="n">
        <f aca="false">IF(W73&gt;=0,W$5,999)</f>
        <v>999</v>
      </c>
      <c r="X77" s="44" t="n">
        <f aca="false">IF(X73&gt;=0,X$5,999)</f>
        <v>999</v>
      </c>
      <c r="Y77" s="44" t="n">
        <f aca="false">IF(Y73&gt;=0,Y$5,999)</f>
        <v>999</v>
      </c>
      <c r="Z77" s="44" t="n">
        <f aca="false">IF(Z73&gt;=0,Z$5,999)</f>
        <v>999</v>
      </c>
      <c r="AA77" s="44" t="n">
        <f aca="false">IF(AA73&gt;=0,AA$5,999)</f>
        <v>999</v>
      </c>
    </row>
    <row r="80" customFormat="false" ht="15" hidden="false" customHeight="false" outlineLevel="0" collapsed="false">
      <c r="A80" s="59" t="s">
        <v>725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</row>
    <row r="81" customFormat="false" ht="15" hidden="false" customHeight="false" outlineLevel="0" collapsed="false">
      <c r="A81" s="7" t="s">
        <v>666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customFormat="false" ht="15" hidden="false" customHeight="false" outlineLevel="0" collapsed="false">
      <c r="A82" s="4" t="s">
        <v>667</v>
      </c>
      <c r="B82" s="2" t="s">
        <v>20</v>
      </c>
      <c r="C82" s="15" t="n">
        <f aca="false">Asumsi!$E$74</f>
        <v>20</v>
      </c>
      <c r="D82" s="15" t="n">
        <f aca="false">Asumsi!$E$75*(1+Asumsi!$E$76)^(D$5-1)</f>
        <v>15</v>
      </c>
      <c r="E82" s="15" t="n">
        <f aca="false">Asumsi!$E$75*(1+Asumsi!$E$76)^(E$5-1)</f>
        <v>16.2</v>
      </c>
      <c r="F82" s="15" t="n">
        <f aca="false">Asumsi!$E$75*(1+Asumsi!$E$76)^(F$5-1)</f>
        <v>17.496</v>
      </c>
      <c r="G82" s="15" t="n">
        <f aca="false">Asumsi!$E$75*(1+Asumsi!$E$76)^(G$5-1)</f>
        <v>18.89568</v>
      </c>
      <c r="H82" s="15" t="n">
        <f aca="false">Asumsi!$E$75*(1+Asumsi!$E$76)^(H$5-1)</f>
        <v>20.4073344</v>
      </c>
      <c r="I82" s="15" t="n">
        <f aca="false">Asumsi!$E$75*(1+Asumsi!$E$76)^(I$5-1)</f>
        <v>22.039921152</v>
      </c>
      <c r="J82" s="15" t="n">
        <f aca="false">Asumsi!$E$75*(1+Asumsi!$E$76)^(J$5-1)</f>
        <v>23.80311484416</v>
      </c>
      <c r="K82" s="15" t="n">
        <f aca="false">Asumsi!$E$75*(1+Asumsi!$E$76)^(K$5-1)</f>
        <v>25.7073640316928</v>
      </c>
      <c r="L82" s="15" t="n">
        <f aca="false">Asumsi!$E$75*(1+Asumsi!$E$76)^(L$5-1)</f>
        <v>27.7639531542282</v>
      </c>
      <c r="M82" s="15" t="n">
        <f aca="false">Asumsi!$E$75*(1+Asumsi!$E$76)^(M$5-1)</f>
        <v>29.9850694065665</v>
      </c>
      <c r="N82" s="15" t="n">
        <f aca="false">Asumsi!$E$75*(1+Asumsi!$E$76)^(N$5-1)</f>
        <v>32.3838749590918</v>
      </c>
      <c r="O82" s="15" t="n">
        <f aca="false">Asumsi!$E$75*(1+Asumsi!$E$76)^(O$5-1)</f>
        <v>34.9745849558192</v>
      </c>
      <c r="P82" s="15" t="n">
        <f aca="false">Asumsi!$E$75*(1+Asumsi!$E$76)^(P$5-1)</f>
        <v>37.7725517522847</v>
      </c>
      <c r="Q82" s="15" t="n">
        <f aca="false">Asumsi!$E$75*(1+Asumsi!$E$76)^(Q$5-1)</f>
        <v>40.7943558924675</v>
      </c>
      <c r="R82" s="15" t="n">
        <f aca="false">Asumsi!$E$75*(1+Asumsi!$E$76)^(R$5-1)</f>
        <v>44.0579043638649</v>
      </c>
      <c r="S82" s="15" t="n">
        <f aca="false">Asumsi!$E$75*(1+Asumsi!$E$76)^(S$5-1)</f>
        <v>47.5825367129741</v>
      </c>
      <c r="T82" s="15" t="n">
        <f aca="false">Asumsi!$E$75*(1+Asumsi!$E$76)^(T$5-1)</f>
        <v>51.389139650012</v>
      </c>
      <c r="U82" s="15" t="n">
        <f aca="false">Asumsi!$E$75*(1+Asumsi!$E$76)^(U$5-1)</f>
        <v>55.500270822013</v>
      </c>
      <c r="V82" s="15" t="n">
        <f aca="false">Asumsi!$E$75*(1+Asumsi!$E$76)^(V$5-1)</f>
        <v>59.940292487774</v>
      </c>
      <c r="W82" s="15" t="n">
        <f aca="false">Asumsi!$E$75*(1+Asumsi!$E$76)^(W$5-1)</f>
        <v>64.7355158867959</v>
      </c>
      <c r="X82" s="15" t="n">
        <f aca="false">Asumsi!$E$75*(1+Asumsi!$E$76)^(X$5-1)</f>
        <v>69.9143571577396</v>
      </c>
      <c r="Y82" s="15" t="n">
        <f aca="false">Asumsi!$E$75*(1+Asumsi!$E$76)^(Y$5-1)</f>
        <v>75.5075057303588</v>
      </c>
      <c r="Z82" s="15" t="n">
        <f aca="false">Asumsi!$E$75*(1+Asumsi!$E$76)^(Z$5-1)</f>
        <v>81.5481061887875</v>
      </c>
      <c r="AA82" s="15" t="n">
        <f aca="false">Asumsi!$E$75*(1+Asumsi!$E$76)^(AA$5-1)</f>
        <v>88.0719546838905</v>
      </c>
      <c r="AB82" s="63" t="n">
        <f aca="false">SUM(D82:O82)</f>
        <v>284.656896903559</v>
      </c>
      <c r="AC82" s="63" t="n">
        <f aca="false">SUM(P82:AA82)</f>
        <v>716.814491328963</v>
      </c>
      <c r="AD82" s="63" t="n">
        <f aca="false">SUM(C82:AA82)</f>
        <v>1021.47138823252</v>
      </c>
    </row>
    <row r="83" customFormat="false" ht="15" hidden="false" customHeight="false" outlineLevel="0" collapsed="false">
      <c r="A83" s="4" t="s">
        <v>668</v>
      </c>
      <c r="B83" s="2" t="s">
        <v>20</v>
      </c>
      <c r="C83" s="49" t="n">
        <f aca="false">C82</f>
        <v>20</v>
      </c>
      <c r="D83" s="15" t="n">
        <f aca="false">C83*(1-Asumsi!$E$77)+D82</f>
        <v>34.2</v>
      </c>
      <c r="E83" s="15" t="n">
        <f aca="false">D83*(1-Asumsi!$E$77)+E82</f>
        <v>49.032</v>
      </c>
      <c r="F83" s="15" t="n">
        <f aca="false">E83*(1-Asumsi!$E$77)+F82</f>
        <v>64.56672</v>
      </c>
      <c r="G83" s="15" t="n">
        <f aca="false">F83*(1-Asumsi!$E$77)+G82</f>
        <v>80.8797312</v>
      </c>
      <c r="H83" s="15" t="n">
        <f aca="false">G83*(1-Asumsi!$E$77)+H82</f>
        <v>98.051876352</v>
      </c>
      <c r="I83" s="15" t="n">
        <f aca="false">H83*(1-Asumsi!$E$77)+I82</f>
        <v>116.16972244992</v>
      </c>
      <c r="J83" s="15" t="n">
        <f aca="false">I83*(1-Asumsi!$E$77)+J82</f>
        <v>135.326048396083</v>
      </c>
      <c r="K83" s="15" t="n">
        <f aca="false">J83*(1-Asumsi!$E$77)+K82</f>
        <v>155.620370491933</v>
      </c>
      <c r="L83" s="15" t="n">
        <f aca="false">K83*(1-Asumsi!$E$77)+L82</f>
        <v>177.159508826484</v>
      </c>
      <c r="M83" s="15" t="n">
        <f aca="false">L83*(1-Asumsi!$E$77)+M82</f>
        <v>200.058197879991</v>
      </c>
      <c r="N83" s="15" t="n">
        <f aca="false">M83*(1-Asumsi!$E$77)+N82</f>
        <v>224.439744923883</v>
      </c>
      <c r="O83" s="15" t="n">
        <f aca="false">N83*(1-Asumsi!$E$77)+O82</f>
        <v>250.436740082747</v>
      </c>
      <c r="P83" s="15" t="n">
        <f aca="false">O83*(1-Asumsi!$E$77)+P82</f>
        <v>278.191822231722</v>
      </c>
      <c r="Q83" s="15" t="n">
        <f aca="false">P83*(1-Asumsi!$E$77)+Q82</f>
        <v>307.85850523492</v>
      </c>
      <c r="R83" s="15" t="n">
        <f aca="false">Q83*(1-Asumsi!$E$77)+R82</f>
        <v>339.602069389388</v>
      </c>
      <c r="S83" s="15" t="n">
        <f aca="false">R83*(1-Asumsi!$E$77)+S82</f>
        <v>373.600523326787</v>
      </c>
      <c r="T83" s="15" t="n">
        <f aca="false">S83*(1-Asumsi!$E$77)+T82</f>
        <v>410.045642043727</v>
      </c>
      <c r="U83" s="15" t="n">
        <f aca="false">T83*(1-Asumsi!$E$77)+U82</f>
        <v>449.144087183991</v>
      </c>
      <c r="V83" s="15" t="n">
        <f aca="false">U83*(1-Asumsi!$E$77)+V82</f>
        <v>491.118616184406</v>
      </c>
      <c r="W83" s="15" t="n">
        <f aca="false">V83*(1-Asumsi!$E$77)+W82</f>
        <v>536.209387423825</v>
      </c>
      <c r="X83" s="15" t="n">
        <f aca="false">W83*(1-Asumsi!$E$77)+X82</f>
        <v>584.675369084612</v>
      </c>
      <c r="Y83" s="15" t="n">
        <f aca="false">X83*(1-Asumsi!$E$77)+Y82</f>
        <v>636.795860051586</v>
      </c>
      <c r="Z83" s="15" t="n">
        <f aca="false">Y83*(1-Asumsi!$E$77)+Z82</f>
        <v>692.87213183831</v>
      </c>
      <c r="AA83" s="15" t="n">
        <f aca="false">Z83*(1-Asumsi!$E$77)+AA82</f>
        <v>753.229201248669</v>
      </c>
      <c r="AB83" s="63" t="n">
        <f aca="false">O83</f>
        <v>250.436740082747</v>
      </c>
      <c r="AC83" s="63" t="n">
        <f aca="false">AA83</f>
        <v>753.229201248669</v>
      </c>
      <c r="AD83" s="63" t="n">
        <f aca="false">AA83</f>
        <v>753.229201248669</v>
      </c>
    </row>
    <row r="84" customFormat="false" ht="15" hidden="false" customHeight="false" outlineLevel="0" collapsed="false">
      <c r="A84" s="4" t="s">
        <v>669</v>
      </c>
      <c r="B84" s="2" t="s">
        <v>20</v>
      </c>
      <c r="D84" s="15" t="n">
        <f aca="false">D83*Asumsi!$E$78</f>
        <v>11.97</v>
      </c>
      <c r="E84" s="15" t="n">
        <f aca="false">E83*Asumsi!$E$78</f>
        <v>17.1612</v>
      </c>
      <c r="F84" s="15" t="n">
        <f aca="false">F83*Asumsi!$E$78</f>
        <v>22.598352</v>
      </c>
      <c r="G84" s="15" t="n">
        <f aca="false">G83*Asumsi!$E$78</f>
        <v>28.30790592</v>
      </c>
      <c r="H84" s="15" t="n">
        <f aca="false">H83*Asumsi!$E$78</f>
        <v>34.3181567232</v>
      </c>
      <c r="I84" s="15" t="n">
        <f aca="false">I83*Asumsi!$E$78</f>
        <v>40.659402857472</v>
      </c>
      <c r="J84" s="15" t="n">
        <f aca="false">J83*Asumsi!$E$78</f>
        <v>47.3641169386291</v>
      </c>
      <c r="K84" s="15" t="n">
        <f aca="false">K83*Asumsi!$E$78</f>
        <v>54.4671296721764</v>
      </c>
      <c r="L84" s="15" t="n">
        <f aca="false">L83*Asumsi!$E$78</f>
        <v>62.0058280892693</v>
      </c>
      <c r="M84" s="15" t="n">
        <f aca="false">M83*Asumsi!$E$78</f>
        <v>70.0203692579968</v>
      </c>
      <c r="N84" s="15" t="n">
        <f aca="false">N83*Asumsi!$E$78</f>
        <v>78.553910723359</v>
      </c>
      <c r="O84" s="15" t="n">
        <f aca="false">O83*Asumsi!$E$78</f>
        <v>87.6528590289614</v>
      </c>
      <c r="P84" s="15" t="n">
        <f aca="false">P83*Asumsi!$E$78</f>
        <v>97.3671377811026</v>
      </c>
      <c r="Q84" s="15" t="n">
        <f aca="false">Q83*Asumsi!$E$78</f>
        <v>107.750476832222</v>
      </c>
      <c r="R84" s="15" t="n">
        <f aca="false">R83*Asumsi!$E$78</f>
        <v>118.860724286286</v>
      </c>
      <c r="S84" s="15" t="n">
        <f aca="false">S83*Asumsi!$E$78</f>
        <v>130.760183164375</v>
      </c>
      <c r="T84" s="15" t="n">
        <f aca="false">T83*Asumsi!$E$78</f>
        <v>143.515974715305</v>
      </c>
      <c r="U84" s="15" t="n">
        <f aca="false">U83*Asumsi!$E$78</f>
        <v>157.200430514397</v>
      </c>
      <c r="V84" s="15" t="n">
        <f aca="false">V83*Asumsi!$E$78</f>
        <v>171.891515664542</v>
      </c>
      <c r="W84" s="15" t="n">
        <f aca="false">W83*Asumsi!$E$78</f>
        <v>187.673285598339</v>
      </c>
      <c r="X84" s="15" t="n">
        <f aca="false">X83*Asumsi!$E$78</f>
        <v>204.636379179614</v>
      </c>
      <c r="Y84" s="15" t="n">
        <f aca="false">Y83*Asumsi!$E$78</f>
        <v>222.878551018055</v>
      </c>
      <c r="Z84" s="15" t="n">
        <f aca="false">Z83*Asumsi!$E$78</f>
        <v>242.505246143409</v>
      </c>
      <c r="AA84" s="15" t="n">
        <f aca="false">AA83*Asumsi!$E$78</f>
        <v>263.630220437034</v>
      </c>
      <c r="AB84" s="63" t="n">
        <f aca="false">O84</f>
        <v>87.6528590289614</v>
      </c>
      <c r="AC84" s="63" t="n">
        <f aca="false">AA84</f>
        <v>263.630220437034</v>
      </c>
      <c r="AD84" s="63" t="n">
        <f aca="false">AA84</f>
        <v>263.630220437034</v>
      </c>
    </row>
    <row r="85" customFormat="false" ht="15" hidden="false" customHeight="false" outlineLevel="0" collapsed="false">
      <c r="A85" s="4" t="s">
        <v>670</v>
      </c>
      <c r="B85" s="2" t="s">
        <v>310</v>
      </c>
      <c r="D85" s="9" t="n">
        <f aca="false">D84*Asumsi!$E$79</f>
        <v>35.91</v>
      </c>
      <c r="E85" s="9" t="n">
        <f aca="false">E84*Asumsi!$E$79</f>
        <v>51.4836</v>
      </c>
      <c r="F85" s="9" t="n">
        <f aca="false">F84*Asumsi!$E$79</f>
        <v>67.795056</v>
      </c>
      <c r="G85" s="9" t="n">
        <f aca="false">G84*Asumsi!$E$79</f>
        <v>84.92371776</v>
      </c>
      <c r="H85" s="9" t="n">
        <f aca="false">H84*Asumsi!$E$79</f>
        <v>102.9544701696</v>
      </c>
      <c r="I85" s="9" t="n">
        <f aca="false">I84*Asumsi!$E$79</f>
        <v>121.978208572416</v>
      </c>
      <c r="J85" s="9" t="n">
        <f aca="false">J84*Asumsi!$E$79</f>
        <v>142.092350815887</v>
      </c>
      <c r="K85" s="9" t="n">
        <f aca="false">K84*Asumsi!$E$79</f>
        <v>163.401389016529</v>
      </c>
      <c r="L85" s="9" t="n">
        <f aca="false">L84*Asumsi!$E$79</f>
        <v>186.017484267808</v>
      </c>
      <c r="M85" s="9" t="n">
        <f aca="false">M84*Asumsi!$E$79</f>
        <v>210.06110777399</v>
      </c>
      <c r="N85" s="9" t="n">
        <f aca="false">N84*Asumsi!$E$79</f>
        <v>235.661732170077</v>
      </c>
      <c r="O85" s="9" t="n">
        <f aca="false">O84*Asumsi!$E$79</f>
        <v>262.958577086884</v>
      </c>
      <c r="P85" s="9" t="n">
        <f aca="false">P84*Asumsi!$E$79</f>
        <v>292.101413343308</v>
      </c>
      <c r="Q85" s="9" t="n">
        <f aca="false">Q84*Asumsi!$E$79</f>
        <v>323.251430496666</v>
      </c>
      <c r="R85" s="9" t="n">
        <f aca="false">R84*Asumsi!$E$79</f>
        <v>356.582172858858</v>
      </c>
      <c r="S85" s="9" t="n">
        <f aca="false">S84*Asumsi!$E$79</f>
        <v>392.280549493126</v>
      </c>
      <c r="T85" s="9" t="n">
        <f aca="false">T84*Asumsi!$E$79</f>
        <v>430.547924145914</v>
      </c>
      <c r="U85" s="9" t="n">
        <f aca="false">U84*Asumsi!$E$79</f>
        <v>471.601291543191</v>
      </c>
      <c r="V85" s="9" t="n">
        <f aca="false">V84*Asumsi!$E$79</f>
        <v>515.674546993626</v>
      </c>
      <c r="W85" s="9" t="n">
        <f aca="false">W84*Asumsi!$E$79</f>
        <v>563.019856795017</v>
      </c>
      <c r="X85" s="9" t="n">
        <f aca="false">X84*Asumsi!$E$79</f>
        <v>613.909137538843</v>
      </c>
      <c r="Y85" s="9" t="n">
        <f aca="false">Y84*Asumsi!$E$79</f>
        <v>668.635653054166</v>
      </c>
      <c r="Z85" s="9" t="n">
        <f aca="false">Z84*Asumsi!$E$79</f>
        <v>727.515738430226</v>
      </c>
      <c r="AA85" s="9" t="n">
        <f aca="false">AA84*Asumsi!$E$79</f>
        <v>790.890661311102</v>
      </c>
      <c r="AB85" s="64" t="n">
        <f aca="false">SUM(D85:O85)</f>
        <v>1665.23769363319</v>
      </c>
      <c r="AC85" s="64" t="n">
        <f aca="false">SUM(P85:AA85)</f>
        <v>6146.01037600404</v>
      </c>
      <c r="AD85" s="64" t="n">
        <f aca="false">SUM(C85:AA85)</f>
        <v>7811.24806963723</v>
      </c>
    </row>
    <row r="86" customFormat="false" ht="15" hidden="false" customHeight="false" outlineLevel="0" collapsed="false">
      <c r="A86" s="7" t="s">
        <v>671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customFormat="false" ht="15" hidden="false" customHeight="false" outlineLevel="0" collapsed="false">
      <c r="A87" s="4" t="s">
        <v>672</v>
      </c>
      <c r="B87" s="2" t="s">
        <v>20</v>
      </c>
      <c r="D87" s="15" t="n">
        <f aca="false">Asumsi!$E$82*(1+Asumsi!$E$83)^(D$5-1)</f>
        <v>30</v>
      </c>
      <c r="E87" s="15" t="n">
        <f aca="false">Asumsi!$E$82*(1+Asumsi!$E$83)^(E$5-1)</f>
        <v>32.4</v>
      </c>
      <c r="F87" s="15" t="n">
        <f aca="false">Asumsi!$E$82*(1+Asumsi!$E$83)^(F$5-1)</f>
        <v>34.992</v>
      </c>
      <c r="G87" s="15" t="n">
        <f aca="false">Asumsi!$E$82*(1+Asumsi!$E$83)^(G$5-1)</f>
        <v>37.79136</v>
      </c>
      <c r="H87" s="15" t="n">
        <f aca="false">Asumsi!$E$82*(1+Asumsi!$E$83)^(H$5-1)</f>
        <v>40.8146688</v>
      </c>
      <c r="I87" s="15" t="n">
        <f aca="false">Asumsi!$E$82*(1+Asumsi!$E$83)^(I$5-1)</f>
        <v>44.079842304</v>
      </c>
      <c r="J87" s="15" t="n">
        <f aca="false">Asumsi!$E$82*(1+Asumsi!$E$83)^(J$5-1)</f>
        <v>47.60622968832</v>
      </c>
      <c r="K87" s="15" t="n">
        <f aca="false">Asumsi!$E$82*(1+Asumsi!$E$83)^(K$5-1)</f>
        <v>51.4147280633856</v>
      </c>
      <c r="L87" s="15" t="n">
        <f aca="false">Asumsi!$E$82*(1+Asumsi!$E$83)^(L$5-1)</f>
        <v>55.5279063084565</v>
      </c>
      <c r="M87" s="15" t="n">
        <f aca="false">Asumsi!$E$82*(1+Asumsi!$E$83)^(M$5-1)</f>
        <v>59.970138813133</v>
      </c>
      <c r="N87" s="15" t="n">
        <f aca="false">Asumsi!$E$82*(1+Asumsi!$E$83)^(N$5-1)</f>
        <v>64.7677499181836</v>
      </c>
      <c r="O87" s="15" t="n">
        <f aca="false">Asumsi!$E$82*(1+Asumsi!$E$83)^(O$5-1)</f>
        <v>69.9491699116383</v>
      </c>
      <c r="P87" s="15" t="n">
        <f aca="false">Asumsi!$E$82*(1+Asumsi!$E$83)^(P$5-1)</f>
        <v>75.5451035045694</v>
      </c>
      <c r="Q87" s="15" t="n">
        <f aca="false">Asumsi!$E$82*(1+Asumsi!$E$83)^(Q$5-1)</f>
        <v>81.588711784935</v>
      </c>
      <c r="R87" s="15" t="n">
        <f aca="false">Asumsi!$E$82*(1+Asumsi!$E$83)^(R$5-1)</f>
        <v>88.1158087277298</v>
      </c>
      <c r="S87" s="15" t="n">
        <f aca="false">Asumsi!$E$82*(1+Asumsi!$E$83)^(S$5-1)</f>
        <v>95.1650734259482</v>
      </c>
      <c r="T87" s="15" t="n">
        <f aca="false">Asumsi!$E$82*(1+Asumsi!$E$83)^(T$5-1)</f>
        <v>102.778279300024</v>
      </c>
      <c r="U87" s="15" t="n">
        <f aca="false">Asumsi!$E$82*(1+Asumsi!$E$83)^(U$5-1)</f>
        <v>111.000541644026</v>
      </c>
      <c r="V87" s="15" t="n">
        <f aca="false">Asumsi!$E$82*(1+Asumsi!$E$83)^(V$5-1)</f>
        <v>119.880584975548</v>
      </c>
      <c r="W87" s="15" t="n">
        <f aca="false">Asumsi!$E$82*(1+Asumsi!$E$83)^(W$5-1)</f>
        <v>129.471031773592</v>
      </c>
      <c r="X87" s="15" t="n">
        <f aca="false">Asumsi!$E$82*(1+Asumsi!$E$83)^(X$5-1)</f>
        <v>139.828714315479</v>
      </c>
      <c r="Y87" s="15" t="n">
        <f aca="false">Asumsi!$E$82*(1+Asumsi!$E$83)^(Y$5-1)</f>
        <v>151.015011460718</v>
      </c>
      <c r="Z87" s="15" t="n">
        <f aca="false">Asumsi!$E$82*(1+Asumsi!$E$83)^(Z$5-1)</f>
        <v>163.096212377575</v>
      </c>
      <c r="AA87" s="15" t="n">
        <f aca="false">Asumsi!$E$82*(1+Asumsi!$E$83)^(AA$5-1)</f>
        <v>176.143909367781</v>
      </c>
      <c r="AB87" s="63" t="n">
        <f aca="false">SUM(D87:O87)</f>
        <v>569.313793807117</v>
      </c>
      <c r="AC87" s="63" t="n">
        <f aca="false">SUM(P87:AA87)</f>
        <v>1433.62898265793</v>
      </c>
      <c r="AD87" s="63" t="n">
        <f aca="false">SUM(C87:AA87)</f>
        <v>2002.94277646504</v>
      </c>
    </row>
    <row r="88" customFormat="false" ht="15" hidden="false" customHeight="false" outlineLevel="0" collapsed="false">
      <c r="A88" s="4" t="s">
        <v>673</v>
      </c>
      <c r="B88" s="2" t="s">
        <v>46</v>
      </c>
      <c r="D88" s="9" t="n">
        <f aca="false">IF(D$5&lt;=3,Asumsi!$E$84,IF(D$5&lt;=12,Asumsi!$E$85,Asumsi!$E$86))</f>
        <v>5000000</v>
      </c>
      <c r="E88" s="9" t="n">
        <f aca="false">IF(E$5&lt;=3,Asumsi!$E$84,IF(E$5&lt;=12,Asumsi!$E$85,Asumsi!$E$86))</f>
        <v>5000000</v>
      </c>
      <c r="F88" s="9" t="n">
        <f aca="false">IF(F$5&lt;=3,Asumsi!$E$84,IF(F$5&lt;=12,Asumsi!$E$85,Asumsi!$E$86))</f>
        <v>5000000</v>
      </c>
      <c r="G88" s="9" t="n">
        <f aca="false">IF(G$5&lt;=3,Asumsi!$E$84,IF(G$5&lt;=12,Asumsi!$E$85,Asumsi!$E$86))</f>
        <v>25000000</v>
      </c>
      <c r="H88" s="9" t="n">
        <f aca="false">IF(H$5&lt;=3,Asumsi!$E$84,IF(H$5&lt;=12,Asumsi!$E$85,Asumsi!$E$86))</f>
        <v>25000000</v>
      </c>
      <c r="I88" s="9" t="n">
        <f aca="false">IF(I$5&lt;=3,Asumsi!$E$84,IF(I$5&lt;=12,Asumsi!$E$85,Asumsi!$E$86))</f>
        <v>25000000</v>
      </c>
      <c r="J88" s="9" t="n">
        <f aca="false">IF(J$5&lt;=3,Asumsi!$E$84,IF(J$5&lt;=12,Asumsi!$E$85,Asumsi!$E$86))</f>
        <v>25000000</v>
      </c>
      <c r="K88" s="9" t="n">
        <f aca="false">IF(K$5&lt;=3,Asumsi!$E$84,IF(K$5&lt;=12,Asumsi!$E$85,Asumsi!$E$86))</f>
        <v>25000000</v>
      </c>
      <c r="L88" s="9" t="n">
        <f aca="false">IF(L$5&lt;=3,Asumsi!$E$84,IF(L$5&lt;=12,Asumsi!$E$85,Asumsi!$E$86))</f>
        <v>25000000</v>
      </c>
      <c r="M88" s="9" t="n">
        <f aca="false">IF(M$5&lt;=3,Asumsi!$E$84,IF(M$5&lt;=12,Asumsi!$E$85,Asumsi!$E$86))</f>
        <v>25000000</v>
      </c>
      <c r="N88" s="9" t="n">
        <f aca="false">IF(N$5&lt;=3,Asumsi!$E$84,IF(N$5&lt;=12,Asumsi!$E$85,Asumsi!$E$86))</f>
        <v>25000000</v>
      </c>
      <c r="O88" s="9" t="n">
        <f aca="false">IF(O$5&lt;=3,Asumsi!$E$84,IF(O$5&lt;=12,Asumsi!$E$85,Asumsi!$E$86))</f>
        <v>25000000</v>
      </c>
      <c r="P88" s="9" t="n">
        <f aca="false">IF(P$5&lt;=3,Asumsi!$E$84,IF(P$5&lt;=12,Asumsi!$E$85,Asumsi!$E$86))</f>
        <v>35000000</v>
      </c>
      <c r="Q88" s="9" t="n">
        <f aca="false">IF(Q$5&lt;=3,Asumsi!$E$84,IF(Q$5&lt;=12,Asumsi!$E$85,Asumsi!$E$86))</f>
        <v>35000000</v>
      </c>
      <c r="R88" s="9" t="n">
        <f aca="false">IF(R$5&lt;=3,Asumsi!$E$84,IF(R$5&lt;=12,Asumsi!$E$85,Asumsi!$E$86))</f>
        <v>35000000</v>
      </c>
      <c r="S88" s="9" t="n">
        <f aca="false">IF(S$5&lt;=3,Asumsi!$E$84,IF(S$5&lt;=12,Asumsi!$E$85,Asumsi!$E$86))</f>
        <v>35000000</v>
      </c>
      <c r="T88" s="9" t="n">
        <f aca="false">IF(T$5&lt;=3,Asumsi!$E$84,IF(T$5&lt;=12,Asumsi!$E$85,Asumsi!$E$86))</f>
        <v>35000000</v>
      </c>
      <c r="U88" s="9" t="n">
        <f aca="false">IF(U$5&lt;=3,Asumsi!$E$84,IF(U$5&lt;=12,Asumsi!$E$85,Asumsi!$E$86))</f>
        <v>35000000</v>
      </c>
      <c r="V88" s="9" t="n">
        <f aca="false">IF(V$5&lt;=3,Asumsi!$E$84,IF(V$5&lt;=12,Asumsi!$E$85,Asumsi!$E$86))</f>
        <v>35000000</v>
      </c>
      <c r="W88" s="9" t="n">
        <f aca="false">IF(W$5&lt;=3,Asumsi!$E$84,IF(W$5&lt;=12,Asumsi!$E$85,Asumsi!$E$86))</f>
        <v>35000000</v>
      </c>
      <c r="X88" s="9" t="n">
        <f aca="false">IF(X$5&lt;=3,Asumsi!$E$84,IF(X$5&lt;=12,Asumsi!$E$85,Asumsi!$E$86))</f>
        <v>35000000</v>
      </c>
      <c r="Y88" s="9" t="n">
        <f aca="false">IF(Y$5&lt;=3,Asumsi!$E$84,IF(Y$5&lt;=12,Asumsi!$E$85,Asumsi!$E$86))</f>
        <v>35000000</v>
      </c>
      <c r="Z88" s="9" t="n">
        <f aca="false">IF(Z$5&lt;=3,Asumsi!$E$84,IF(Z$5&lt;=12,Asumsi!$E$85,Asumsi!$E$86))</f>
        <v>35000000</v>
      </c>
      <c r="AA88" s="9" t="n">
        <f aca="false">IF(AA$5&lt;=3,Asumsi!$E$84,IF(AA$5&lt;=12,Asumsi!$E$85,Asumsi!$E$86))</f>
        <v>35000000</v>
      </c>
      <c r="AB88" s="64" t="n">
        <f aca="false">SUM(D88:O88)</f>
        <v>240000000</v>
      </c>
      <c r="AC88" s="64" t="n">
        <f aca="false">SUM(P88:AA88)</f>
        <v>420000000</v>
      </c>
      <c r="AD88" s="64" t="n">
        <f aca="false">SUM(C88:AA88)</f>
        <v>660000000</v>
      </c>
    </row>
    <row r="89" customFormat="false" ht="15" hidden="false" customHeight="false" outlineLevel="0" collapsed="false">
      <c r="A89" s="4" t="s">
        <v>674</v>
      </c>
      <c r="B89" s="2" t="s">
        <v>20</v>
      </c>
      <c r="D89" s="15" t="n">
        <f aca="false">IF(Asumsi!$E$87&gt;0,D88/Asumsi!$E$87,0)</f>
        <v>20</v>
      </c>
      <c r="E89" s="15" t="n">
        <f aca="false">IF(Asumsi!$E$87&gt;0,E88/Asumsi!$E$87,0)</f>
        <v>20</v>
      </c>
      <c r="F89" s="15" t="n">
        <f aca="false">IF(Asumsi!$E$87&gt;0,F88/Asumsi!$E$87,0)</f>
        <v>20</v>
      </c>
      <c r="G89" s="15" t="n">
        <f aca="false">IF(Asumsi!$E$87&gt;0,G88/Asumsi!$E$87,0)</f>
        <v>100</v>
      </c>
      <c r="H89" s="15" t="n">
        <f aca="false">IF(Asumsi!$E$87&gt;0,H88/Asumsi!$E$87,0)</f>
        <v>100</v>
      </c>
      <c r="I89" s="15" t="n">
        <f aca="false">IF(Asumsi!$E$87&gt;0,I88/Asumsi!$E$87,0)</f>
        <v>100</v>
      </c>
      <c r="J89" s="15" t="n">
        <f aca="false">IF(Asumsi!$E$87&gt;0,J88/Asumsi!$E$87,0)</f>
        <v>100</v>
      </c>
      <c r="K89" s="15" t="n">
        <f aca="false">IF(Asumsi!$E$87&gt;0,K88/Asumsi!$E$87,0)</f>
        <v>100</v>
      </c>
      <c r="L89" s="15" t="n">
        <f aca="false">IF(Asumsi!$E$87&gt;0,L88/Asumsi!$E$87,0)</f>
        <v>100</v>
      </c>
      <c r="M89" s="15" t="n">
        <f aca="false">IF(Asumsi!$E$87&gt;0,M88/Asumsi!$E$87,0)</f>
        <v>100</v>
      </c>
      <c r="N89" s="15" t="n">
        <f aca="false">IF(Asumsi!$E$87&gt;0,N88/Asumsi!$E$87,0)</f>
        <v>100</v>
      </c>
      <c r="O89" s="15" t="n">
        <f aca="false">IF(Asumsi!$E$87&gt;0,O88/Asumsi!$E$87,0)</f>
        <v>100</v>
      </c>
      <c r="P89" s="15" t="n">
        <f aca="false">IF(Asumsi!$E$87&gt;0,P88/Asumsi!$E$87,0)</f>
        <v>140</v>
      </c>
      <c r="Q89" s="15" t="n">
        <f aca="false">IF(Asumsi!$E$87&gt;0,Q88/Asumsi!$E$87,0)</f>
        <v>140</v>
      </c>
      <c r="R89" s="15" t="n">
        <f aca="false">IF(Asumsi!$E$87&gt;0,R88/Asumsi!$E$87,0)</f>
        <v>140</v>
      </c>
      <c r="S89" s="15" t="n">
        <f aca="false">IF(Asumsi!$E$87&gt;0,S88/Asumsi!$E$87,0)</f>
        <v>140</v>
      </c>
      <c r="T89" s="15" t="n">
        <f aca="false">IF(Asumsi!$E$87&gt;0,T88/Asumsi!$E$87,0)</f>
        <v>140</v>
      </c>
      <c r="U89" s="15" t="n">
        <f aca="false">IF(Asumsi!$E$87&gt;0,U88/Asumsi!$E$87,0)</f>
        <v>140</v>
      </c>
      <c r="V89" s="15" t="n">
        <f aca="false">IF(Asumsi!$E$87&gt;0,V88/Asumsi!$E$87,0)</f>
        <v>140</v>
      </c>
      <c r="W89" s="15" t="n">
        <f aca="false">IF(Asumsi!$E$87&gt;0,W88/Asumsi!$E$87,0)</f>
        <v>140</v>
      </c>
      <c r="X89" s="15" t="n">
        <f aca="false">IF(Asumsi!$E$87&gt;0,X88/Asumsi!$E$87,0)</f>
        <v>140</v>
      </c>
      <c r="Y89" s="15" t="n">
        <f aca="false">IF(Asumsi!$E$87&gt;0,Y88/Asumsi!$E$87,0)</f>
        <v>140</v>
      </c>
      <c r="Z89" s="15" t="n">
        <f aca="false">IF(Asumsi!$E$87&gt;0,Z88/Asumsi!$E$87,0)</f>
        <v>140</v>
      </c>
      <c r="AA89" s="15" t="n">
        <f aca="false">IF(Asumsi!$E$87&gt;0,AA88/Asumsi!$E$87,0)</f>
        <v>140</v>
      </c>
      <c r="AB89" s="63" t="n">
        <f aca="false">SUM(D89:O89)</f>
        <v>960</v>
      </c>
      <c r="AC89" s="63" t="n">
        <f aca="false">SUM(P89:AA89)</f>
        <v>1680</v>
      </c>
      <c r="AD89" s="63" t="n">
        <f aca="false">SUM(C89:AA89)</f>
        <v>2640</v>
      </c>
    </row>
    <row r="90" customFormat="false" ht="15" hidden="false" customHeight="false" outlineLevel="0" collapsed="false">
      <c r="A90" s="4" t="s">
        <v>675</v>
      </c>
      <c r="B90" s="2" t="s">
        <v>20</v>
      </c>
      <c r="D90" s="15" t="n">
        <f aca="false">C99*(1-Asumsi!$E$88)</f>
        <v>46</v>
      </c>
      <c r="E90" s="15" t="n">
        <f aca="false">D99*(1-Asumsi!$E$88)</f>
        <v>72.6312606278027</v>
      </c>
      <c r="F90" s="15" t="n">
        <f aca="false">E99*(1-Asumsi!$E$88)</f>
        <v>108.589974971005</v>
      </c>
      <c r="G90" s="15" t="n">
        <f aca="false">F99*(1-Asumsi!$E$88)</f>
        <v>152.396243247765</v>
      </c>
      <c r="H90" s="15" t="n">
        <f aca="false">G99*(1-Asumsi!$E$88)</f>
        <v>210.742790861717</v>
      </c>
      <c r="I90" s="15" t="n">
        <f aca="false">H99*(1-Asumsi!$E$88)</f>
        <v>276.659953578594</v>
      </c>
      <c r="J90" s="15" t="n">
        <f aca="false">I99*(1-Asumsi!$E$88)</f>
        <v>349.369766372649</v>
      </c>
      <c r="K90" s="15" t="n">
        <f aca="false">J99*(1-Asumsi!$E$88)</f>
        <v>428.26813064312</v>
      </c>
      <c r="L90" s="15" t="n">
        <f aca="false">K99*(1-Asumsi!$E$88)</f>
        <v>512.922544902712</v>
      </c>
      <c r="M90" s="15" t="n">
        <f aca="false">L99*(1-Asumsi!$E$88)</f>
        <v>603.060217528233</v>
      </c>
      <c r="N90" s="15" t="n">
        <f aca="false">M99*(1-Asumsi!$E$88)</f>
        <v>698.552257743186</v>
      </c>
      <c r="O90" s="15" t="n">
        <f aca="false">N99*(1-Asumsi!$E$88)</f>
        <v>799.397452441288</v>
      </c>
      <c r="P90" s="15" t="n">
        <f aca="false">O99*(1-Asumsi!$E$88)</f>
        <v>905.707494796982</v>
      </c>
      <c r="Q90" s="15" t="n">
        <f aca="false">P99*(1-Asumsi!$E$88)</f>
        <v>1027.94999278847</v>
      </c>
      <c r="R90" s="15" t="n">
        <f aca="false">Q99*(1-Asumsi!$E$88)</f>
        <v>1155.78205408854</v>
      </c>
      <c r="S90" s="15" t="n">
        <f aca="false">R99*(1-Asumsi!$E$88)</f>
        <v>1289.61115687789</v>
      </c>
      <c r="T90" s="15" t="n">
        <f aca="false">S99*(1-Asumsi!$E$88)</f>
        <v>1429.91917989568</v>
      </c>
      <c r="U90" s="15" t="n">
        <f aca="false">T99*(1-Asumsi!$E$88)</f>
        <v>1571.76980359765</v>
      </c>
      <c r="V90" s="15" t="n">
        <f aca="false">U99*(1-Asumsi!$E$88)</f>
        <v>1713.09942310509</v>
      </c>
      <c r="W90" s="15" t="n">
        <f aca="false">V99*(1-Asumsi!$E$88)</f>
        <v>1854.5428941656</v>
      </c>
      <c r="X90" s="15" t="n">
        <f aca="false">W99*(1-Asumsi!$E$88)</f>
        <v>1996.74729842987</v>
      </c>
      <c r="Y90" s="15" t="n">
        <f aca="false">X99*(1-Asumsi!$E$88)</f>
        <v>2140.37511958961</v>
      </c>
      <c r="Z90" s="15" t="n">
        <f aca="false">Y99*(1-Asumsi!$E$88)</f>
        <v>2286.10754831686</v>
      </c>
      <c r="AA90" s="15" t="n">
        <f aca="false">Z99*(1-Asumsi!$E$88)</f>
        <v>2434.64793345017</v>
      </c>
    </row>
    <row r="91" customFormat="false" ht="15" hidden="false" customHeight="false" outlineLevel="0" collapsed="false">
      <c r="A91" s="4" t="s">
        <v>676</v>
      </c>
      <c r="B91" s="2" t="s">
        <v>20</v>
      </c>
      <c r="D91" s="15" t="n">
        <f aca="false">D90*Asumsi!$E$95</f>
        <v>1.15</v>
      </c>
      <c r="E91" s="15" t="n">
        <f aca="false">E90*Asumsi!$E$95</f>
        <v>1.81578151569507</v>
      </c>
      <c r="F91" s="15" t="n">
        <f aca="false">F90*Asumsi!$E$95</f>
        <v>2.71474937427513</v>
      </c>
      <c r="G91" s="15" t="n">
        <f aca="false">G90*Asumsi!$E$95</f>
        <v>3.80990608119413</v>
      </c>
      <c r="H91" s="15" t="n">
        <f aca="false">H90*Asumsi!$E$95</f>
        <v>5.26856977154294</v>
      </c>
      <c r="I91" s="15" t="n">
        <f aca="false">I90*Asumsi!$E$95</f>
        <v>6.91649883946486</v>
      </c>
      <c r="J91" s="15" t="n">
        <f aca="false">J90*Asumsi!$E$95</f>
        <v>8.73424415931623</v>
      </c>
      <c r="K91" s="15" t="n">
        <f aca="false">K90*Asumsi!$E$95</f>
        <v>10.706703266078</v>
      </c>
      <c r="L91" s="15" t="n">
        <f aca="false">L90*Asumsi!$E$95</f>
        <v>12.8230636225678</v>
      </c>
      <c r="M91" s="15" t="n">
        <f aca="false">M90*Asumsi!$E$95</f>
        <v>15.0765054382058</v>
      </c>
      <c r="N91" s="15" t="n">
        <f aca="false">N90*Asumsi!$E$95</f>
        <v>17.4638064435797</v>
      </c>
      <c r="O91" s="15" t="n">
        <f aca="false">O90*Asumsi!$E$95</f>
        <v>19.9849363110322</v>
      </c>
      <c r="P91" s="15" t="n">
        <f aca="false">P90*Asumsi!$E$95</f>
        <v>22.6426873699246</v>
      </c>
      <c r="Q91" s="15" t="n">
        <f aca="false">Q90*Asumsi!$E$95</f>
        <v>25.6987498197117</v>
      </c>
      <c r="R91" s="15" t="n">
        <f aca="false">R90*Asumsi!$E$95</f>
        <v>28.8945513522135</v>
      </c>
      <c r="S91" s="15" t="n">
        <f aca="false">S90*Asumsi!$E$95</f>
        <v>32.2402789219473</v>
      </c>
      <c r="T91" s="15" t="n">
        <f aca="false">T90*Asumsi!$E$95</f>
        <v>35.7479794973921</v>
      </c>
      <c r="U91" s="15" t="n">
        <f aca="false">U90*Asumsi!$E$95</f>
        <v>39.2942450899413</v>
      </c>
      <c r="V91" s="15" t="n">
        <f aca="false">V90*Asumsi!$E$95</f>
        <v>42.8274855776273</v>
      </c>
      <c r="W91" s="15" t="n">
        <f aca="false">W90*Asumsi!$E$95</f>
        <v>46.3635723541401</v>
      </c>
      <c r="X91" s="15" t="n">
        <f aca="false">X90*Asumsi!$E$95</f>
        <v>49.9186824607467</v>
      </c>
      <c r="Y91" s="15" t="n">
        <f aca="false">Y90*Asumsi!$E$95</f>
        <v>53.5093779897402</v>
      </c>
      <c r="Z91" s="15" t="n">
        <f aca="false">Z90*Asumsi!$E$95</f>
        <v>57.1526887079215</v>
      </c>
      <c r="AA91" s="15" t="n">
        <f aca="false">AA90*Asumsi!$E$95</f>
        <v>60.8661983362542</v>
      </c>
      <c r="AB91" s="63" t="n">
        <f aca="false">SUM(D91:O91)</f>
        <v>106.464764822952</v>
      </c>
      <c r="AC91" s="63" t="n">
        <f aca="false">SUM(P91:AA91)</f>
        <v>495.15649747756</v>
      </c>
      <c r="AD91" s="63" t="n">
        <f aca="false">SUM(C91:AA91)</f>
        <v>601.621262300512</v>
      </c>
    </row>
    <row r="92" customFormat="false" ht="15" hidden="false" customHeight="false" outlineLevel="0" collapsed="false">
      <c r="A92" s="4" t="s">
        <v>677</v>
      </c>
      <c r="B92" s="2" t="s">
        <v>46</v>
      </c>
      <c r="D92" s="9" t="n">
        <f aca="false">D91*Asumsi!$E$96*(MIN(Asumsi!$E$91,Asumsi!$E$94/Asumsi!$E$98)+Asumsi!$E$92)*Asumsi!$E$97</f>
        <v>30187.5</v>
      </c>
      <c r="E92" s="9" t="n">
        <f aca="false">E91*Asumsi!$E$96*(MIN(Asumsi!$E$91,Asumsi!$E$94/Asumsi!$E$98)+Asumsi!$E$92)*Asumsi!$E$97</f>
        <v>47664.2647869955</v>
      </c>
      <c r="F92" s="9" t="n">
        <f aca="false">F91*Asumsi!$E$96*(MIN(Asumsi!$E$91,Asumsi!$E$94/Asumsi!$E$98)+Asumsi!$E$92)*Asumsi!$E$97</f>
        <v>71262.1710747221</v>
      </c>
      <c r="G92" s="9" t="n">
        <f aca="false">G91*Asumsi!$E$96*(MIN(Asumsi!$E$91,Asumsi!$E$94/Asumsi!$E$98)+Asumsi!$E$92)*Asumsi!$E$97</f>
        <v>100010.034631346</v>
      </c>
      <c r="H92" s="9" t="n">
        <f aca="false">H91*Asumsi!$E$96*(MIN(Asumsi!$E$91,Asumsi!$E$94/Asumsi!$E$98)+Asumsi!$E$92)*Asumsi!$E$97</f>
        <v>138299.956503002</v>
      </c>
      <c r="I92" s="9" t="n">
        <f aca="false">I91*Asumsi!$E$96*(MIN(Asumsi!$E$91,Asumsi!$E$94/Asumsi!$E$98)+Asumsi!$E$92)*Asumsi!$E$97</f>
        <v>181558.094535952</v>
      </c>
      <c r="J92" s="9" t="n">
        <f aca="false">J91*Asumsi!$E$96*(MIN(Asumsi!$E$91,Asumsi!$E$94/Asumsi!$E$98)+Asumsi!$E$92)*Asumsi!$E$97</f>
        <v>229273.909182051</v>
      </c>
      <c r="K92" s="9" t="n">
        <f aca="false">K91*Asumsi!$E$96*(MIN(Asumsi!$E$91,Asumsi!$E$94/Asumsi!$E$98)+Asumsi!$E$92)*Asumsi!$E$97</f>
        <v>281050.960734548</v>
      </c>
      <c r="L92" s="9" t="n">
        <f aca="false">L91*Asumsi!$E$96*(MIN(Asumsi!$E$91,Asumsi!$E$94/Asumsi!$E$98)+Asumsi!$E$92)*Asumsi!$E$97</f>
        <v>336605.420092405</v>
      </c>
      <c r="M92" s="9" t="n">
        <f aca="false">M91*Asumsi!$E$96*(MIN(Asumsi!$E$91,Asumsi!$E$94/Asumsi!$E$98)+Asumsi!$E$92)*Asumsi!$E$97</f>
        <v>395758.267752903</v>
      </c>
      <c r="N92" s="9" t="n">
        <f aca="false">N91*Asumsi!$E$96*(MIN(Asumsi!$E$91,Asumsi!$E$94/Asumsi!$E$98)+Asumsi!$E$92)*Asumsi!$E$97</f>
        <v>458424.919143966</v>
      </c>
      <c r="O92" s="9" t="n">
        <f aca="false">O91*Asumsi!$E$96*(MIN(Asumsi!$E$91,Asumsi!$E$94/Asumsi!$E$98)+Asumsi!$E$92)*Asumsi!$E$97</f>
        <v>524604.578164595</v>
      </c>
      <c r="P92" s="9" t="n">
        <f aca="false">P91*Asumsi!$E$96*(MIN(Asumsi!$E$91,Asumsi!$E$94/Asumsi!$E$98)+Asumsi!$E$92)*Asumsi!$E$97</f>
        <v>594370.54346052</v>
      </c>
      <c r="Q92" s="9" t="n">
        <f aca="false">Q91*Asumsi!$E$96*(MIN(Asumsi!$E$91,Asumsi!$E$94/Asumsi!$E$98)+Asumsi!$E$92)*Asumsi!$E$97</f>
        <v>674592.182767431</v>
      </c>
      <c r="R92" s="9" t="n">
        <f aca="false">R91*Asumsi!$E$96*(MIN(Asumsi!$E$91,Asumsi!$E$94/Asumsi!$E$98)+Asumsi!$E$92)*Asumsi!$E$97</f>
        <v>758481.972995605</v>
      </c>
      <c r="S92" s="9" t="n">
        <f aca="false">S91*Asumsi!$E$96*(MIN(Asumsi!$E$91,Asumsi!$E$94/Asumsi!$E$98)+Asumsi!$E$92)*Asumsi!$E$97</f>
        <v>846307.321701116</v>
      </c>
      <c r="T92" s="9" t="n">
        <f aca="false">T91*Asumsi!$E$96*(MIN(Asumsi!$E$91,Asumsi!$E$94/Asumsi!$E$98)+Asumsi!$E$92)*Asumsi!$E$97</f>
        <v>938384.461806543</v>
      </c>
      <c r="U92" s="9" t="n">
        <f aca="false">U91*Asumsi!$E$96*(MIN(Asumsi!$E$91,Asumsi!$E$94/Asumsi!$E$98)+Asumsi!$E$92)*Asumsi!$E$97</f>
        <v>1031473.93361096</v>
      </c>
      <c r="V92" s="9" t="n">
        <f aca="false">V91*Asumsi!$E$96*(MIN(Asumsi!$E$91,Asumsi!$E$94/Asumsi!$E$98)+Asumsi!$E$92)*Asumsi!$E$97</f>
        <v>1124221.49641272</v>
      </c>
      <c r="W92" s="9" t="n">
        <f aca="false">W91*Asumsi!$E$96*(MIN(Asumsi!$E$91,Asumsi!$E$94/Asumsi!$E$98)+Asumsi!$E$92)*Asumsi!$E$97</f>
        <v>1217043.77429618</v>
      </c>
      <c r="X92" s="9" t="n">
        <f aca="false">X91*Asumsi!$E$96*(MIN(Asumsi!$E$91,Asumsi!$E$94/Asumsi!$E$98)+Asumsi!$E$92)*Asumsi!$E$97</f>
        <v>1310365.4145946</v>
      </c>
      <c r="Y92" s="9" t="n">
        <f aca="false">Y91*Asumsi!$E$96*(MIN(Asumsi!$E$91,Asumsi!$E$94/Asumsi!$E$98)+Asumsi!$E$92)*Asumsi!$E$97</f>
        <v>1404621.17223068</v>
      </c>
      <c r="Z92" s="9" t="n">
        <f aca="false">Z91*Asumsi!$E$96*(MIN(Asumsi!$E$91,Asumsi!$E$94/Asumsi!$E$98)+Asumsi!$E$92)*Asumsi!$E$97</f>
        <v>1500258.07858294</v>
      </c>
      <c r="AA92" s="9" t="n">
        <f aca="false">AA91*Asumsi!$E$96*(MIN(Asumsi!$E$91,Asumsi!$E$94/Asumsi!$E$98)+Asumsi!$E$92)*Asumsi!$E$97</f>
        <v>1597737.70632667</v>
      </c>
      <c r="AB92" s="64" t="n">
        <f aca="false">SUM(D92:O92)</f>
        <v>2794700.07660249</v>
      </c>
      <c r="AC92" s="64" t="n">
        <f aca="false">SUM(P92:AA92)</f>
        <v>12997858.058786</v>
      </c>
      <c r="AD92" s="64" t="n">
        <f aca="false">SUM(C92:AA92)</f>
        <v>15792558.1353884</v>
      </c>
    </row>
    <row r="93" customFormat="false" ht="15" hidden="false" customHeight="false" outlineLevel="0" collapsed="false">
      <c r="A93" s="4" t="s">
        <v>678</v>
      </c>
      <c r="B93" s="2" t="s">
        <v>147</v>
      </c>
      <c r="D93" s="57" t="n">
        <f aca="false">IF(AND(Asumsi!$E$103=1,D92&gt;0),MIN(1,Asumsi!$E$104/D92),1)</f>
        <v>1</v>
      </c>
      <c r="E93" s="57" t="n">
        <f aca="false">IF(AND(Asumsi!$E$103=1,E92&gt;0),MIN(1,Asumsi!$E$104/E92),1)</f>
        <v>1</v>
      </c>
      <c r="F93" s="57" t="n">
        <f aca="false">IF(AND(Asumsi!$E$103=1,F92&gt;0),MIN(1,Asumsi!$E$104/F92),1)</f>
        <v>1</v>
      </c>
      <c r="G93" s="57" t="n">
        <f aca="false">IF(AND(Asumsi!$E$103=1,G92&gt;0),MIN(1,Asumsi!$E$104/G92),1)</f>
        <v>1</v>
      </c>
      <c r="H93" s="57" t="n">
        <f aca="false">IF(AND(Asumsi!$E$103=1,H92&gt;0),MIN(1,Asumsi!$E$104/H92),1)</f>
        <v>1</v>
      </c>
      <c r="I93" s="57" t="n">
        <f aca="false">IF(AND(Asumsi!$E$103=1,I92&gt;0),MIN(1,Asumsi!$E$104/I92),1)</f>
        <v>1</v>
      </c>
      <c r="J93" s="57" t="n">
        <f aca="false">IF(AND(Asumsi!$E$103=1,J92&gt;0),MIN(1,Asumsi!$E$104/J92),1)</f>
        <v>1</v>
      </c>
      <c r="K93" s="57" t="n">
        <f aca="false">IF(AND(Asumsi!$E$103=1,K92&gt;0),MIN(1,Asumsi!$E$104/K92),1)</f>
        <v>1</v>
      </c>
      <c r="L93" s="57" t="n">
        <f aca="false">IF(AND(Asumsi!$E$103=1,L92&gt;0),MIN(1,Asumsi!$E$104/L92),1)</f>
        <v>1</v>
      </c>
      <c r="M93" s="57" t="n">
        <f aca="false">IF(AND(Asumsi!$E$103=1,M92&gt;0),MIN(1,Asumsi!$E$104/M92),1)</f>
        <v>1</v>
      </c>
      <c r="N93" s="57" t="n">
        <f aca="false">IF(AND(Asumsi!$E$103=1,N92&gt;0),MIN(1,Asumsi!$E$104/N92),1)</f>
        <v>1</v>
      </c>
      <c r="O93" s="57" t="n">
        <f aca="false">IF(AND(Asumsi!$E$103=1,O92&gt;0),MIN(1,Asumsi!$E$104/O92),1)</f>
        <v>1</v>
      </c>
      <c r="P93" s="57" t="n">
        <f aca="false">IF(AND(Asumsi!$E$103=1,P92&gt;0),MIN(1,Asumsi!$E$104/P92),1)</f>
        <v>1</v>
      </c>
      <c r="Q93" s="57" t="n">
        <f aca="false">IF(AND(Asumsi!$E$103=1,Q92&gt;0),MIN(1,Asumsi!$E$104/Q92),1)</f>
        <v>1</v>
      </c>
      <c r="R93" s="57" t="n">
        <f aca="false">IF(AND(Asumsi!$E$103=1,R92&gt;0),MIN(1,Asumsi!$E$104/R92),1)</f>
        <v>1</v>
      </c>
      <c r="S93" s="57" t="n">
        <f aca="false">IF(AND(Asumsi!$E$103=1,S92&gt;0),MIN(1,Asumsi!$E$104/S92),1)</f>
        <v>1</v>
      </c>
      <c r="T93" s="57" t="n">
        <f aca="false">IF(AND(Asumsi!$E$103=1,T92&gt;0),MIN(1,Asumsi!$E$104/T92),1)</f>
        <v>1</v>
      </c>
      <c r="U93" s="57" t="n">
        <f aca="false">IF(AND(Asumsi!$E$103=1,U92&gt;0),MIN(1,Asumsi!$E$104/U92),1)</f>
        <v>1</v>
      </c>
      <c r="V93" s="57" t="n">
        <f aca="false">IF(AND(Asumsi!$E$103=1,V92&gt;0),MIN(1,Asumsi!$E$104/V92),1)</f>
        <v>1</v>
      </c>
      <c r="W93" s="57" t="n">
        <f aca="false">IF(AND(Asumsi!$E$103=1,W92&gt;0),MIN(1,Asumsi!$E$104/W92),1)</f>
        <v>1</v>
      </c>
      <c r="X93" s="57" t="n">
        <f aca="false">IF(AND(Asumsi!$E$103=1,X92&gt;0),MIN(1,Asumsi!$E$104/X92),1)</f>
        <v>1</v>
      </c>
      <c r="Y93" s="57" t="n">
        <f aca="false">IF(AND(Asumsi!$E$103=1,Y92&gt;0),MIN(1,Asumsi!$E$104/Y92),1)</f>
        <v>1</v>
      </c>
      <c r="Z93" s="57" t="n">
        <f aca="false">IF(AND(Asumsi!$E$103=1,Z92&gt;0),MIN(1,Asumsi!$E$104/Z92),1)</f>
        <v>1</v>
      </c>
      <c r="AA93" s="57" t="n">
        <f aca="false">IF(AND(Asumsi!$E$103=1,AA92&gt;0),MIN(1,Asumsi!$E$104/AA92),1)</f>
        <v>1</v>
      </c>
    </row>
    <row r="94" customFormat="false" ht="15" hidden="false" customHeight="false" outlineLevel="0" collapsed="false">
      <c r="A94" s="4" t="s">
        <v>679</v>
      </c>
      <c r="B94" s="2" t="s">
        <v>20</v>
      </c>
      <c r="D94" s="49" t="n">
        <f aca="false">D91*D93</f>
        <v>1.15</v>
      </c>
      <c r="E94" s="49" t="n">
        <f aca="false">E91*E93</f>
        <v>1.81578151569507</v>
      </c>
      <c r="F94" s="49" t="n">
        <f aca="false">F91*F93</f>
        <v>2.71474937427513</v>
      </c>
      <c r="G94" s="49" t="n">
        <f aca="false">G91*G93</f>
        <v>3.80990608119413</v>
      </c>
      <c r="H94" s="49" t="n">
        <f aca="false">H91*H93</f>
        <v>5.26856977154294</v>
      </c>
      <c r="I94" s="49" t="n">
        <f aca="false">I91*I93</f>
        <v>6.91649883946486</v>
      </c>
      <c r="J94" s="49" t="n">
        <f aca="false">J91*J93</f>
        <v>8.73424415931623</v>
      </c>
      <c r="K94" s="49" t="n">
        <f aca="false">K91*K93</f>
        <v>10.706703266078</v>
      </c>
      <c r="L94" s="49" t="n">
        <f aca="false">L91*L93</f>
        <v>12.8230636225678</v>
      </c>
      <c r="M94" s="49" t="n">
        <f aca="false">M91*M93</f>
        <v>15.0765054382058</v>
      </c>
      <c r="N94" s="49" t="n">
        <f aca="false">N91*N93</f>
        <v>17.4638064435797</v>
      </c>
      <c r="O94" s="49" t="n">
        <f aca="false">O91*O93</f>
        <v>19.9849363110322</v>
      </c>
      <c r="P94" s="49" t="n">
        <f aca="false">P91*P93</f>
        <v>22.6426873699246</v>
      </c>
      <c r="Q94" s="49" t="n">
        <f aca="false">Q91*Q93</f>
        <v>25.6987498197117</v>
      </c>
      <c r="R94" s="49" t="n">
        <f aca="false">R91*R93</f>
        <v>28.8945513522135</v>
      </c>
      <c r="S94" s="49" t="n">
        <f aca="false">S91*S93</f>
        <v>32.2402789219473</v>
      </c>
      <c r="T94" s="49" t="n">
        <f aca="false">T91*T93</f>
        <v>35.7479794973921</v>
      </c>
      <c r="U94" s="49" t="n">
        <f aca="false">U91*U93</f>
        <v>39.2942450899413</v>
      </c>
      <c r="V94" s="49" t="n">
        <f aca="false">V91*V93</f>
        <v>42.8274855776273</v>
      </c>
      <c r="W94" s="49" t="n">
        <f aca="false">W91*W93</f>
        <v>46.3635723541401</v>
      </c>
      <c r="X94" s="49" t="n">
        <f aca="false">X91*X93</f>
        <v>49.9186824607467</v>
      </c>
      <c r="Y94" s="49" t="n">
        <f aca="false">Y91*Y93</f>
        <v>53.5093779897402</v>
      </c>
      <c r="Z94" s="49" t="n">
        <f aca="false">Z91*Z93</f>
        <v>57.1526887079215</v>
      </c>
      <c r="AA94" s="49" t="n">
        <f aca="false">AA91*AA93</f>
        <v>60.8661983362542</v>
      </c>
      <c r="AB94" s="63" t="n">
        <f aca="false">SUM(D94:O94)</f>
        <v>106.464764822952</v>
      </c>
      <c r="AC94" s="63" t="n">
        <f aca="false">SUM(P94:AA94)</f>
        <v>495.15649747756</v>
      </c>
      <c r="AD94" s="63" t="n">
        <f aca="false">SUM(C94:AA94)</f>
        <v>601.621262300512</v>
      </c>
    </row>
    <row r="95" customFormat="false" ht="15" hidden="false" customHeight="false" outlineLevel="0" collapsed="false">
      <c r="A95" s="4" t="s">
        <v>680</v>
      </c>
      <c r="B95" s="2" t="s">
        <v>20</v>
      </c>
      <c r="D95" s="49" t="n">
        <f aca="false">D87+D89+D94</f>
        <v>51.15</v>
      </c>
      <c r="E95" s="49" t="n">
        <f aca="false">E87+E89+E94</f>
        <v>54.2157815156951</v>
      </c>
      <c r="F95" s="49" t="n">
        <f aca="false">F87+F89+F94</f>
        <v>57.7067493742751</v>
      </c>
      <c r="G95" s="49" t="n">
        <f aca="false">G87+G89+G94</f>
        <v>141.601266081194</v>
      </c>
      <c r="H95" s="49" t="n">
        <f aca="false">H87+H89+H94</f>
        <v>146.083238571543</v>
      </c>
      <c r="I95" s="49" t="n">
        <f aca="false">I87+I89+I94</f>
        <v>150.996341143465</v>
      </c>
      <c r="J95" s="49" t="n">
        <f aca="false">J87+J89+J94</f>
        <v>156.340473847636</v>
      </c>
      <c r="K95" s="49" t="n">
        <f aca="false">K87+K89+K94</f>
        <v>162.121431329464</v>
      </c>
      <c r="L95" s="49" t="n">
        <f aca="false">L87+L89+L94</f>
        <v>168.350969931024</v>
      </c>
      <c r="M95" s="49" t="n">
        <f aca="false">M87+M89+M94</f>
        <v>175.046644251339</v>
      </c>
      <c r="N95" s="49" t="n">
        <f aca="false">N87+N89+N94</f>
        <v>182.231556361763</v>
      </c>
      <c r="O95" s="49" t="n">
        <f aca="false">O87+O89+O94</f>
        <v>189.934106222671</v>
      </c>
      <c r="P95" s="49" t="n">
        <f aca="false">P87+P89+P94</f>
        <v>238.187790874494</v>
      </c>
      <c r="Q95" s="49" t="n">
        <f aca="false">Q87+Q89+Q94</f>
        <v>247.287461604647</v>
      </c>
      <c r="R95" s="49" t="n">
        <f aca="false">R87+R89+R94</f>
        <v>257.010360079943</v>
      </c>
      <c r="S95" s="49" t="n">
        <f aca="false">S87+S89+S94</f>
        <v>267.405352347895</v>
      </c>
      <c r="T95" s="49" t="n">
        <f aca="false">T87+T89+T94</f>
        <v>278.526258797416</v>
      </c>
      <c r="U95" s="49" t="n">
        <f aca="false">U87+U89+U94</f>
        <v>290.294786733967</v>
      </c>
      <c r="V95" s="49" t="n">
        <f aca="false">V87+V89+V94</f>
        <v>302.708070553175</v>
      </c>
      <c r="W95" s="49" t="n">
        <f aca="false">W87+W89+W94</f>
        <v>315.834604127732</v>
      </c>
      <c r="X95" s="49" t="n">
        <f aca="false">X87+X89+X94</f>
        <v>329.747396776226</v>
      </c>
      <c r="Y95" s="49" t="n">
        <f aca="false">Y87+Y89+Y94</f>
        <v>344.524389450458</v>
      </c>
      <c r="Z95" s="49" t="n">
        <f aca="false">Z87+Z89+Z94</f>
        <v>360.248901085497</v>
      </c>
      <c r="AA95" s="49" t="n">
        <f aca="false">AA87+AA89+AA94</f>
        <v>377.010107704035</v>
      </c>
      <c r="AB95" s="63" t="n">
        <f aca="false">SUM(D95:O95)</f>
        <v>1635.77855863007</v>
      </c>
      <c r="AC95" s="63" t="n">
        <f aca="false">SUM(P95:AA95)</f>
        <v>3608.78548013549</v>
      </c>
      <c r="AD95" s="63" t="n">
        <f aca="false">SUM(C95:AA95)</f>
        <v>5244.56403876556</v>
      </c>
    </row>
    <row r="96" customFormat="false" ht="15" hidden="false" customHeight="false" outlineLevel="0" collapsed="false">
      <c r="A96" s="4" t="s">
        <v>681</v>
      </c>
      <c r="B96" s="2" t="s">
        <v>12</v>
      </c>
      <c r="D96" s="9" t="n">
        <f aca="false">D95+D90*Asumsi!$E$89</f>
        <v>55.75</v>
      </c>
      <c r="E96" s="9" t="n">
        <f aca="false">E95+E90*Asumsi!$E$89</f>
        <v>61.4789075784753</v>
      </c>
      <c r="F96" s="9" t="n">
        <f aca="false">F95+F90*Asumsi!$E$89</f>
        <v>68.5657468713756</v>
      </c>
      <c r="G96" s="9" t="n">
        <f aca="false">G95+G90*Asumsi!$E$89</f>
        <v>156.840890405971</v>
      </c>
      <c r="H96" s="9" t="n">
        <f aca="false">H95+H90*Asumsi!$E$89</f>
        <v>167.157517657715</v>
      </c>
      <c r="I96" s="9" t="n">
        <f aca="false">I95+I90*Asumsi!$E$89</f>
        <v>178.662336501324</v>
      </c>
      <c r="J96" s="9" t="n">
        <f aca="false">J95+J90*Asumsi!$E$89</f>
        <v>191.277450484901</v>
      </c>
      <c r="K96" s="9" t="n">
        <f aca="false">K95+K90*Asumsi!$E$89</f>
        <v>204.948244393776</v>
      </c>
      <c r="L96" s="9" t="n">
        <f aca="false">L95+L90*Asumsi!$E$89</f>
        <v>219.643224421295</v>
      </c>
      <c r="M96" s="9" t="n">
        <f aca="false">M95+M90*Asumsi!$E$89</f>
        <v>235.352666004162</v>
      </c>
      <c r="N96" s="9" t="n">
        <f aca="false">N95+N90*Asumsi!$E$89</f>
        <v>252.086782136082</v>
      </c>
      <c r="O96" s="9" t="n">
        <f aca="false">O95+O90*Asumsi!$E$89</f>
        <v>269.873851466799</v>
      </c>
      <c r="P96" s="9" t="n">
        <f aca="false">P95+P90*Asumsi!$E$89</f>
        <v>328.758540354192</v>
      </c>
      <c r="Q96" s="9" t="n">
        <f aca="false">Q95+Q90*Asumsi!$E$89</f>
        <v>350.082460883493</v>
      </c>
      <c r="R96" s="9" t="n">
        <f aca="false">R95+R90*Asumsi!$E$89</f>
        <v>372.588565488797</v>
      </c>
      <c r="S96" s="9" t="n">
        <f aca="false">S95+S90*Asumsi!$E$89</f>
        <v>396.366468035684</v>
      </c>
      <c r="T96" s="9" t="n">
        <f aca="false">T95+T90*Asumsi!$E$89</f>
        <v>421.518176786985</v>
      </c>
      <c r="U96" s="9" t="n">
        <f aca="false">U95+U90*Asumsi!$E$89</f>
        <v>447.471767093733</v>
      </c>
      <c r="V96" s="9" t="n">
        <f aca="false">V95+V90*Asumsi!$E$89</f>
        <v>474.018012863684</v>
      </c>
      <c r="W96" s="9" t="n">
        <f aca="false">W95+W90*Asumsi!$E$89</f>
        <v>501.288893544292</v>
      </c>
      <c r="X96" s="9" t="n">
        <f aca="false">X95+X90*Asumsi!$E$89</f>
        <v>529.422126619213</v>
      </c>
      <c r="Y96" s="9" t="n">
        <f aca="false">Y95+Y90*Asumsi!$E$89</f>
        <v>558.561901409419</v>
      </c>
      <c r="Z96" s="9" t="n">
        <f aca="false">Z95+Z90*Asumsi!$E$89</f>
        <v>588.859655917183</v>
      </c>
      <c r="AA96" s="9" t="n">
        <f aca="false">AA95+AA90*Asumsi!$E$89</f>
        <v>620.474901049052</v>
      </c>
      <c r="AB96" s="64" t="n">
        <f aca="false">SUM(D96:O96)</f>
        <v>2061.63761792188</v>
      </c>
      <c r="AC96" s="64" t="n">
        <f aca="false">SUM(P96:AA96)</f>
        <v>5589.41147004573</v>
      </c>
      <c r="AD96" s="64" t="n">
        <f aca="false">SUM(C96:AA96)</f>
        <v>7651.0490879676</v>
      </c>
    </row>
    <row r="97" customFormat="false" ht="15" hidden="false" customHeight="false" outlineLevel="0" collapsed="false">
      <c r="A97" s="4" t="s">
        <v>682</v>
      </c>
      <c r="B97" s="2" t="s">
        <v>12</v>
      </c>
      <c r="D97" s="36" t="n">
        <f aca="false">MIN(D96,D85)</f>
        <v>35.91</v>
      </c>
      <c r="E97" s="36" t="n">
        <f aca="false">MIN(E96,E85)</f>
        <v>51.4836</v>
      </c>
      <c r="F97" s="36" t="n">
        <f aca="false">MIN(F96,F85)</f>
        <v>67.795056</v>
      </c>
      <c r="G97" s="36" t="n">
        <f aca="false">MIN(G96,G85)</f>
        <v>84.92371776</v>
      </c>
      <c r="H97" s="36" t="n">
        <f aca="false">MIN(H96,H85)</f>
        <v>102.9544701696</v>
      </c>
      <c r="I97" s="36" t="n">
        <f aca="false">MIN(I96,I85)</f>
        <v>121.978208572416</v>
      </c>
      <c r="J97" s="36" t="n">
        <f aca="false">MIN(J96,J85)</f>
        <v>142.092350815887</v>
      </c>
      <c r="K97" s="36" t="n">
        <f aca="false">MIN(K96,K85)</f>
        <v>163.401389016529</v>
      </c>
      <c r="L97" s="36" t="n">
        <f aca="false">MIN(L96,L85)</f>
        <v>186.017484267808</v>
      </c>
      <c r="M97" s="36" t="n">
        <f aca="false">MIN(M96,M85)</f>
        <v>210.06110777399</v>
      </c>
      <c r="N97" s="36" t="n">
        <f aca="false">MIN(N96,N85)</f>
        <v>235.661732170077</v>
      </c>
      <c r="O97" s="36" t="n">
        <f aca="false">MIN(O96,O85)</f>
        <v>262.958577086884</v>
      </c>
      <c r="P97" s="36" t="n">
        <f aca="false">MIN(P96,P85)</f>
        <v>292.101413343308</v>
      </c>
      <c r="Q97" s="36" t="n">
        <f aca="false">MIN(Q96,Q85)</f>
        <v>323.251430496666</v>
      </c>
      <c r="R97" s="36" t="n">
        <f aca="false">MIN(R96,R85)</f>
        <v>356.582172858858</v>
      </c>
      <c r="S97" s="36" t="n">
        <f aca="false">MIN(S96,S85)</f>
        <v>392.280549493126</v>
      </c>
      <c r="T97" s="36" t="n">
        <f aca="false">MIN(T96,T85)</f>
        <v>421.518176786985</v>
      </c>
      <c r="U97" s="36" t="n">
        <f aca="false">MIN(U96,U85)</f>
        <v>447.471767093733</v>
      </c>
      <c r="V97" s="36" t="n">
        <f aca="false">MIN(V96,V85)</f>
        <v>474.018012863684</v>
      </c>
      <c r="W97" s="36" t="n">
        <f aca="false">MIN(W96,W85)</f>
        <v>501.288893544292</v>
      </c>
      <c r="X97" s="36" t="n">
        <f aca="false">MIN(X96,X85)</f>
        <v>529.422126619213</v>
      </c>
      <c r="Y97" s="36" t="n">
        <f aca="false">MIN(Y96,Y85)</f>
        <v>558.561901409419</v>
      </c>
      <c r="Z97" s="36" t="n">
        <f aca="false">MIN(Z96,Z85)</f>
        <v>588.859655917183</v>
      </c>
      <c r="AA97" s="36" t="n">
        <f aca="false">MIN(AA96,AA85)</f>
        <v>620.474901049052</v>
      </c>
      <c r="AB97" s="64" t="n">
        <f aca="false">SUM(D97:O97)</f>
        <v>1665.23769363319</v>
      </c>
      <c r="AC97" s="64" t="n">
        <f aca="false">SUM(P97:AA97)</f>
        <v>5505.83100147552</v>
      </c>
      <c r="AD97" s="64" t="n">
        <f aca="false">SUM(C97:AA97)</f>
        <v>7171.06869510871</v>
      </c>
    </row>
    <row r="98" customFormat="false" ht="15" hidden="false" customHeight="false" outlineLevel="0" collapsed="false">
      <c r="A98" s="4" t="s">
        <v>683</v>
      </c>
      <c r="B98" s="2" t="s">
        <v>25</v>
      </c>
      <c r="D98" s="40" t="n">
        <f aca="false">IF(D96&gt;0,D97/D96,0)</f>
        <v>0.644125560538117</v>
      </c>
      <c r="E98" s="40" t="n">
        <f aca="false">IF(E96&gt;0,E97/E96,0)</f>
        <v>0.837418913702773</v>
      </c>
      <c r="F98" s="40" t="n">
        <f aca="false">IF(F96&gt;0,F97/F96,0)</f>
        <v>0.988759826786086</v>
      </c>
      <c r="G98" s="40" t="n">
        <f aca="false">IF(G96&gt;0,G97/G96,0)</f>
        <v>0.541464139486721</v>
      </c>
      <c r="H98" s="40" t="n">
        <f aca="false">IF(H96&gt;0,H97/H96,0)</f>
        <v>0.615912892296103</v>
      </c>
      <c r="I98" s="40" t="n">
        <f aca="false">IF(I96&gt;0,I97/I96,0)</f>
        <v>0.682730400604113</v>
      </c>
      <c r="J98" s="40" t="n">
        <f aca="false">IF(J96&gt;0,J97/J96,0)</f>
        <v>0.742859916083541</v>
      </c>
      <c r="K98" s="40" t="n">
        <f aca="false">IF(K96&gt;0,K97/K96,0)</f>
        <v>0.797281233122346</v>
      </c>
      <c r="L98" s="40" t="n">
        <f aca="false">IF(L96&gt;0,L97/L96,0)</f>
        <v>0.84690745529673</v>
      </c>
      <c r="M98" s="40" t="n">
        <f aca="false">IF(M96&gt;0,M97/M96,0)</f>
        <v>0.892537617442054</v>
      </c>
      <c r="N98" s="40" t="n">
        <f aca="false">IF(N96&gt;0,N97/N96,0)</f>
        <v>0.934843668411229</v>
      </c>
      <c r="O98" s="40" t="n">
        <f aca="false">IF(O96&gt;0,O97/O96,0)</f>
        <v>0.974375900657549</v>
      </c>
      <c r="P98" s="40" t="n">
        <f aca="false">IF(P96&gt;0,P97/P96,0)</f>
        <v>0.888498327765443</v>
      </c>
      <c r="Q98" s="40" t="n">
        <f aca="false">IF(Q96&gt;0,Q97/Q96,0)</f>
        <v>0.923357970236172</v>
      </c>
      <c r="R98" s="40" t="n">
        <f aca="false">IF(R96&gt;0,R97/R96,0)</f>
        <v>0.957040032592141</v>
      </c>
      <c r="S98" s="40" t="n">
        <f aca="false">IF(S96&gt;0,S97/S96,0)</f>
        <v>0.989691563560341</v>
      </c>
      <c r="T98" s="40" t="n">
        <f aca="false">IF(T96&gt;0,T97/T96,0)</f>
        <v>1</v>
      </c>
      <c r="U98" s="40" t="n">
        <f aca="false">IF(U96&gt;0,U97/U96,0)</f>
        <v>1</v>
      </c>
      <c r="V98" s="40" t="n">
        <f aca="false">IF(V96&gt;0,V97/V96,0)</f>
        <v>1</v>
      </c>
      <c r="W98" s="40" t="n">
        <f aca="false">IF(W96&gt;0,W97/W96,0)</f>
        <v>1</v>
      </c>
      <c r="X98" s="40" t="n">
        <f aca="false">IF(X96&gt;0,X97/X96,0)</f>
        <v>1</v>
      </c>
      <c r="Y98" s="40" t="n">
        <f aca="false">IF(Y96&gt;0,Y97/Y96,0)</f>
        <v>1</v>
      </c>
      <c r="Z98" s="40" t="n">
        <f aca="false">IF(Z96&gt;0,Z97/Z96,0)</f>
        <v>1</v>
      </c>
      <c r="AA98" s="40" t="n">
        <f aca="false">IF(AA96&gt;0,AA97/AA96,0)</f>
        <v>1</v>
      </c>
      <c r="AB98" s="65" t="n">
        <f aca="false">IF(AB96&gt;0,AB97/AB96,0)</f>
        <v>0.807725702692477</v>
      </c>
      <c r="AC98" s="65" t="n">
        <f aca="false">IF(AC96&gt;0,AC97/AC96,0)</f>
        <v>0.98504664238478</v>
      </c>
      <c r="AD98" s="65" t="n">
        <f aca="false">IF(AD96&gt;0,AD97/AD96,0)</f>
        <v>0.937266068046311</v>
      </c>
    </row>
    <row r="99" customFormat="false" ht="15" hidden="false" customHeight="false" outlineLevel="0" collapsed="false">
      <c r="A99" s="4" t="s">
        <v>684</v>
      </c>
      <c r="B99" s="2" t="s">
        <v>20</v>
      </c>
      <c r="C99" s="9" t="n">
        <f aca="false">Asumsi!$E$81</f>
        <v>50</v>
      </c>
      <c r="D99" s="36" t="n">
        <f aca="false">D90+D95*D98</f>
        <v>78.9470224215247</v>
      </c>
      <c r="E99" s="36" t="n">
        <f aca="false">E90+E95*E98</f>
        <v>118.032581490223</v>
      </c>
      <c r="F99" s="36" t="n">
        <f aca="false">F90+F95*F98</f>
        <v>165.648090486701</v>
      </c>
      <c r="G99" s="36" t="n">
        <f aca="false">G90+G95*G98</f>
        <v>229.068250936649</v>
      </c>
      <c r="H99" s="36" t="n">
        <f aca="false">H90+H95*H98</f>
        <v>300.717340846298</v>
      </c>
      <c r="I99" s="36" t="n">
        <f aca="false">I90+I95*I98</f>
        <v>379.749746057227</v>
      </c>
      <c r="J99" s="36" t="n">
        <f aca="false">J90+J95*J98</f>
        <v>465.508837655565</v>
      </c>
      <c r="K99" s="36" t="n">
        <f aca="false">K90+K95*K98</f>
        <v>557.524505329035</v>
      </c>
      <c r="L99" s="36" t="n">
        <f aca="false">L90+L95*L98</f>
        <v>655.500236443732</v>
      </c>
      <c r="M99" s="36" t="n">
        <f aca="false">M90+M95*M98</f>
        <v>759.29593232955</v>
      </c>
      <c r="N99" s="36" t="n">
        <f aca="false">N90+N95*N98</f>
        <v>868.910274392704</v>
      </c>
      <c r="O99" s="36" t="n">
        <f aca="false">O90+O95*O98</f>
        <v>984.464668257589</v>
      </c>
      <c r="P99" s="36" t="n">
        <f aca="false">P90+P95*P98</f>
        <v>1117.33694868312</v>
      </c>
      <c r="Q99" s="36" t="n">
        <f aca="false">Q90+Q95*Q98</f>
        <v>1256.28484140059</v>
      </c>
      <c r="R99" s="36" t="n">
        <f aca="false">R90+R95*R98</f>
        <v>1401.75125747597</v>
      </c>
      <c r="S99" s="36" t="n">
        <f aca="false">S90+S95*S98</f>
        <v>1554.25997814748</v>
      </c>
      <c r="T99" s="36" t="n">
        <f aca="false">T90+T95*T98</f>
        <v>1708.4454386931</v>
      </c>
      <c r="U99" s="36" t="n">
        <f aca="false">U90+U95*U98</f>
        <v>1862.06459033162</v>
      </c>
      <c r="V99" s="36" t="n">
        <f aca="false">V90+V95*V98</f>
        <v>2015.80749365827</v>
      </c>
      <c r="W99" s="36" t="n">
        <f aca="false">W90+W95*W98</f>
        <v>2170.37749829334</v>
      </c>
      <c r="X99" s="36" t="n">
        <f aca="false">X90+X95*X98</f>
        <v>2326.4946952061</v>
      </c>
      <c r="Y99" s="36" t="n">
        <f aca="false">Y90+Y95*Y98</f>
        <v>2484.89950904007</v>
      </c>
      <c r="Z99" s="36" t="n">
        <f aca="false">Z90+Z95*Z98</f>
        <v>2646.35644940236</v>
      </c>
      <c r="AA99" s="36" t="n">
        <f aca="false">AA90+AA95*AA98</f>
        <v>2811.6580411542</v>
      </c>
      <c r="AB99" s="64" t="n">
        <f aca="false">O99</f>
        <v>984.464668257589</v>
      </c>
      <c r="AC99" s="64" t="n">
        <f aca="false">AA99</f>
        <v>2811.6580411542</v>
      </c>
      <c r="AD99" s="64" t="n">
        <f aca="false">AA99</f>
        <v>2811.6580411542</v>
      </c>
    </row>
    <row r="100" customFormat="false" ht="15" hidden="false" customHeight="false" outlineLevel="0" collapsed="false">
      <c r="A100" s="4" t="s">
        <v>685</v>
      </c>
      <c r="B100" s="2" t="s">
        <v>12</v>
      </c>
      <c r="D100" s="15" t="n">
        <f aca="false">D97*Asumsi!$E$65</f>
        <v>1.7955</v>
      </c>
      <c r="E100" s="15" t="n">
        <f aca="false">E97*Asumsi!$E$65</f>
        <v>2.57418</v>
      </c>
      <c r="F100" s="15" t="n">
        <f aca="false">F97*Asumsi!$E$65</f>
        <v>3.3897528</v>
      </c>
      <c r="G100" s="15" t="n">
        <f aca="false">G97*Asumsi!$E$65</f>
        <v>4.246185888</v>
      </c>
      <c r="H100" s="15" t="n">
        <f aca="false">H97*Asumsi!$E$65</f>
        <v>5.14772350848</v>
      </c>
      <c r="I100" s="15" t="n">
        <f aca="false">I97*Asumsi!$E$65</f>
        <v>6.0989104286208</v>
      </c>
      <c r="J100" s="15" t="n">
        <f aca="false">J97*Asumsi!$E$65</f>
        <v>7.10461754079437</v>
      </c>
      <c r="K100" s="15" t="n">
        <f aca="false">K97*Asumsi!$E$65</f>
        <v>8.17006945082647</v>
      </c>
      <c r="L100" s="15" t="n">
        <f aca="false">L97*Asumsi!$E$65</f>
        <v>9.30087421339039</v>
      </c>
      <c r="M100" s="15" t="n">
        <f aca="false">M97*Asumsi!$E$65</f>
        <v>10.5030553886995</v>
      </c>
      <c r="N100" s="15" t="n">
        <f aca="false">N97*Asumsi!$E$65</f>
        <v>11.7830866085039</v>
      </c>
      <c r="O100" s="15" t="n">
        <f aca="false">O97*Asumsi!$E$65</f>
        <v>13.1479288543442</v>
      </c>
      <c r="P100" s="15" t="n">
        <f aca="false">P97*Asumsi!$E$65</f>
        <v>14.6050706671654</v>
      </c>
      <c r="Q100" s="15" t="n">
        <f aca="false">Q97*Asumsi!$E$65</f>
        <v>16.1625715248333</v>
      </c>
      <c r="R100" s="15" t="n">
        <f aca="false">R97*Asumsi!$E$65</f>
        <v>17.8291086429429</v>
      </c>
      <c r="S100" s="15" t="n">
        <f aca="false">S97*Asumsi!$E$65</f>
        <v>19.6140274746563</v>
      </c>
      <c r="T100" s="15" t="n">
        <f aca="false">T97*Asumsi!$E$65</f>
        <v>21.0759088393492</v>
      </c>
      <c r="U100" s="15" t="n">
        <f aca="false">U97*Asumsi!$E$65</f>
        <v>22.3735883546866</v>
      </c>
      <c r="V100" s="15" t="n">
        <f aca="false">V97*Asumsi!$E$65</f>
        <v>23.7009006431842</v>
      </c>
      <c r="W100" s="15" t="n">
        <f aca="false">W97*Asumsi!$E$65</f>
        <v>25.0644446772146</v>
      </c>
      <c r="X100" s="15" t="n">
        <f aca="false">X97*Asumsi!$E$65</f>
        <v>26.4711063309606</v>
      </c>
      <c r="Y100" s="15" t="n">
        <f aca="false">Y97*Asumsi!$E$65</f>
        <v>27.9280950704709</v>
      </c>
      <c r="Z100" s="15" t="n">
        <f aca="false">Z97*Asumsi!$E$65</f>
        <v>29.4429827958591</v>
      </c>
      <c r="AA100" s="15" t="n">
        <f aca="false">AA97*Asumsi!$E$65</f>
        <v>31.0237450524526</v>
      </c>
      <c r="AB100" s="63" t="n">
        <f aca="false">SUM(D100:O100)</f>
        <v>83.2618846816596</v>
      </c>
      <c r="AC100" s="63" t="n">
        <f aca="false">SUM(P100:AA100)</f>
        <v>275.291550073776</v>
      </c>
      <c r="AD100" s="63" t="n">
        <f aca="false">SUM(C100:AA100)</f>
        <v>358.553434755436</v>
      </c>
    </row>
    <row r="101" customFormat="false" ht="15" hidden="false" customHeight="false" outlineLevel="0" collapsed="false">
      <c r="A101" s="4" t="s">
        <v>686</v>
      </c>
      <c r="B101" s="2" t="s">
        <v>12</v>
      </c>
      <c r="D101" s="36" t="n">
        <f aca="false">D97-D100</f>
        <v>34.1145</v>
      </c>
      <c r="E101" s="36" t="n">
        <f aca="false">E97-E100</f>
        <v>48.90942</v>
      </c>
      <c r="F101" s="36" t="n">
        <f aca="false">F97-F100</f>
        <v>64.4053032</v>
      </c>
      <c r="G101" s="36" t="n">
        <f aca="false">G97-G100</f>
        <v>80.677531872</v>
      </c>
      <c r="H101" s="36" t="n">
        <f aca="false">H97-H100</f>
        <v>97.80674666112</v>
      </c>
      <c r="I101" s="36" t="n">
        <f aca="false">I97-I100</f>
        <v>115.879298143795</v>
      </c>
      <c r="J101" s="36" t="n">
        <f aca="false">J97-J100</f>
        <v>134.987733275093</v>
      </c>
      <c r="K101" s="36" t="n">
        <f aca="false">K97-K100</f>
        <v>155.231319565703</v>
      </c>
      <c r="L101" s="36" t="n">
        <f aca="false">L97-L100</f>
        <v>176.716610054417</v>
      </c>
      <c r="M101" s="36" t="n">
        <f aca="false">M97-M100</f>
        <v>199.558052385291</v>
      </c>
      <c r="N101" s="36" t="n">
        <f aca="false">N97-N100</f>
        <v>223.878645561573</v>
      </c>
      <c r="O101" s="36" t="n">
        <f aca="false">O97-O100</f>
        <v>249.81064823254</v>
      </c>
      <c r="P101" s="36" t="n">
        <f aca="false">P97-P100</f>
        <v>277.496342676142</v>
      </c>
      <c r="Q101" s="36" t="n">
        <f aca="false">Q97-Q100</f>
        <v>307.088858971833</v>
      </c>
      <c r="R101" s="36" t="n">
        <f aca="false">R97-R100</f>
        <v>338.753064215915</v>
      </c>
      <c r="S101" s="36" t="n">
        <f aca="false">S97-S100</f>
        <v>372.66652201847</v>
      </c>
      <c r="T101" s="36" t="n">
        <f aca="false">T97-T100</f>
        <v>400.442267947635</v>
      </c>
      <c r="U101" s="36" t="n">
        <f aca="false">U97-U100</f>
        <v>425.098178739046</v>
      </c>
      <c r="V101" s="36" t="n">
        <f aca="false">V97-V100</f>
        <v>450.3171122205</v>
      </c>
      <c r="W101" s="36" t="n">
        <f aca="false">W97-W100</f>
        <v>476.224448867078</v>
      </c>
      <c r="X101" s="36" t="n">
        <f aca="false">X97-X100</f>
        <v>502.951020288252</v>
      </c>
      <c r="Y101" s="36" t="n">
        <f aca="false">Y97-Y100</f>
        <v>530.633806338948</v>
      </c>
      <c r="Z101" s="36" t="n">
        <f aca="false">Z97-Z100</f>
        <v>559.416673121324</v>
      </c>
      <c r="AA101" s="36" t="n">
        <f aca="false">AA97-AA100</f>
        <v>589.4511559966</v>
      </c>
      <c r="AB101" s="64" t="n">
        <f aca="false">SUM(D101:O101)</f>
        <v>1581.97580895153</v>
      </c>
      <c r="AC101" s="64" t="n">
        <f aca="false">SUM(P101:AA101)</f>
        <v>5230.53945140174</v>
      </c>
      <c r="AD101" s="64" t="n">
        <f aca="false">SUM(C101:AA101)</f>
        <v>6812.51526035327</v>
      </c>
    </row>
    <row r="102" customFormat="false" ht="15" hidden="false" customHeight="false" outlineLevel="0" collapsed="false">
      <c r="A102" s="4" t="s">
        <v>687</v>
      </c>
      <c r="B102" s="2" t="s">
        <v>28</v>
      </c>
      <c r="D102" s="34" t="str">
        <f aca="false">IF(D96&gt;D85,"Pasokan","Permintaan")</f>
        <v>Pasokan</v>
      </c>
      <c r="E102" s="34" t="str">
        <f aca="false">IF(E96&gt;E85,"Pasokan","Permintaan")</f>
        <v>Pasokan</v>
      </c>
      <c r="F102" s="34" t="str">
        <f aca="false">IF(F96&gt;F85,"Pasokan","Permintaan")</f>
        <v>Pasokan</v>
      </c>
      <c r="G102" s="34" t="str">
        <f aca="false">IF(G96&gt;G85,"Pasokan","Permintaan")</f>
        <v>Pasokan</v>
      </c>
      <c r="H102" s="34" t="str">
        <f aca="false">IF(H96&gt;H85,"Pasokan","Permintaan")</f>
        <v>Pasokan</v>
      </c>
      <c r="I102" s="34" t="str">
        <f aca="false">IF(I96&gt;I85,"Pasokan","Permintaan")</f>
        <v>Pasokan</v>
      </c>
      <c r="J102" s="34" t="str">
        <f aca="false">IF(J96&gt;J85,"Pasokan","Permintaan")</f>
        <v>Pasokan</v>
      </c>
      <c r="K102" s="34" t="str">
        <f aca="false">IF(K96&gt;K85,"Pasokan","Permintaan")</f>
        <v>Pasokan</v>
      </c>
      <c r="L102" s="34" t="str">
        <f aca="false">IF(L96&gt;L85,"Pasokan","Permintaan")</f>
        <v>Pasokan</v>
      </c>
      <c r="M102" s="34" t="str">
        <f aca="false">IF(M96&gt;M85,"Pasokan","Permintaan")</f>
        <v>Pasokan</v>
      </c>
      <c r="N102" s="34" t="str">
        <f aca="false">IF(N96&gt;N85,"Pasokan","Permintaan")</f>
        <v>Pasokan</v>
      </c>
      <c r="O102" s="34" t="str">
        <f aca="false">IF(O96&gt;O85,"Pasokan","Permintaan")</f>
        <v>Pasokan</v>
      </c>
      <c r="P102" s="34" t="str">
        <f aca="false">IF(P96&gt;P85,"Pasokan","Permintaan")</f>
        <v>Pasokan</v>
      </c>
      <c r="Q102" s="34" t="str">
        <f aca="false">IF(Q96&gt;Q85,"Pasokan","Permintaan")</f>
        <v>Pasokan</v>
      </c>
      <c r="R102" s="34" t="str">
        <f aca="false">IF(R96&gt;R85,"Pasokan","Permintaan")</f>
        <v>Pasokan</v>
      </c>
      <c r="S102" s="34" t="str">
        <f aca="false">IF(S96&gt;S85,"Pasokan","Permintaan")</f>
        <v>Pasokan</v>
      </c>
      <c r="T102" s="34" t="str">
        <f aca="false">IF(T96&gt;T85,"Pasokan","Permintaan")</f>
        <v>Permintaan</v>
      </c>
      <c r="U102" s="34" t="str">
        <f aca="false">IF(U96&gt;U85,"Pasokan","Permintaan")</f>
        <v>Permintaan</v>
      </c>
      <c r="V102" s="34" t="str">
        <f aca="false">IF(V96&gt;V85,"Pasokan","Permintaan")</f>
        <v>Permintaan</v>
      </c>
      <c r="W102" s="34" t="str">
        <f aca="false">IF(W96&gt;W85,"Pasokan","Permintaan")</f>
        <v>Permintaan</v>
      </c>
      <c r="X102" s="34" t="str">
        <f aca="false">IF(X96&gt;X85,"Pasokan","Permintaan")</f>
        <v>Permintaan</v>
      </c>
      <c r="Y102" s="34" t="str">
        <f aca="false">IF(Y96&gt;Y85,"Pasokan","Permintaan")</f>
        <v>Permintaan</v>
      </c>
      <c r="Z102" s="34" t="str">
        <f aca="false">IF(Z96&gt;Z85,"Pasokan","Permintaan")</f>
        <v>Permintaan</v>
      </c>
      <c r="AA102" s="34" t="str">
        <f aca="false">IF(AA96&gt;AA85,"Pasokan","Permintaan")</f>
        <v>Permintaan</v>
      </c>
    </row>
    <row r="103" customFormat="false" ht="15" hidden="false" customHeight="false" outlineLevel="0" collapsed="false">
      <c r="A103" s="7" t="s">
        <v>688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customFormat="false" ht="15" hidden="false" customHeight="false" outlineLevel="0" collapsed="false">
      <c r="A104" s="4" t="s">
        <v>689</v>
      </c>
      <c r="B104" s="2" t="s">
        <v>46</v>
      </c>
      <c r="D104" s="9" t="n">
        <f aca="false">D101*'Unit Economics'!$D$18</f>
        <v>99618899.402925</v>
      </c>
      <c r="E104" s="9" t="n">
        <f aca="false">E101*'Unit Economics'!$D$18</f>
        <v>142822043.143983</v>
      </c>
      <c r="F104" s="9" t="n">
        <f aca="false">F101*'Unit Economics'!$D$18</f>
        <v>188072093.112773</v>
      </c>
      <c r="G104" s="9" t="n">
        <f aca="false">G101*'Unit Economics'!$D$18</f>
        <v>235589175.618375</v>
      </c>
      <c r="H104" s="9" t="n">
        <f aca="false">H101*'Unit Economics'!$D$18</f>
        <v>285608772.122162</v>
      </c>
      <c r="I104" s="9" t="n">
        <f aca="false">I101*'Unit Economics'!$D$18</f>
        <v>338383037.848079</v>
      </c>
      <c r="J104" s="9" t="n">
        <f aca="false">J101*'Unit Economics'!$D$18</f>
        <v>394182222.273824</v>
      </c>
      <c r="K104" s="9" t="n">
        <f aca="false">K101*'Unit Economics'!$D$18</f>
        <v>453296199.797712</v>
      </c>
      <c r="L104" s="9" t="n">
        <f aca="false">L101*'Unit Economics'!$D$18</f>
        <v>516036119.533833</v>
      </c>
      <c r="M104" s="9" t="n">
        <f aca="false">M101*'Unit Economics'!$D$18</f>
        <v>582736183.89875</v>
      </c>
      <c r="N104" s="9" t="n">
        <f aca="false">N101*'Unit Economics'!$D$18</f>
        <v>653755566.420773</v>
      </c>
      <c r="O104" s="9" t="n">
        <f aca="false">O101*'Unit Economics'!$D$18</f>
        <v>729480480.032153</v>
      </c>
      <c r="P104" s="9" t="n">
        <f aca="false">P101*'Unit Economics'!$D$18</f>
        <v>810326408.000534</v>
      </c>
      <c r="Q104" s="9" t="n">
        <f aca="false">Q101*'Unit Economics'!$D$18</f>
        <v>896740510.623754</v>
      </c>
      <c r="R104" s="9" t="n">
        <f aca="false">R101*'Unit Economics'!$D$18</f>
        <v>989204221.857504</v>
      </c>
      <c r="S104" s="9" t="n">
        <f aca="false">S101*'Unit Economics'!$D$18</f>
        <v>1088236051.1746</v>
      </c>
      <c r="T104" s="9" t="n">
        <f aca="false">T101*'Unit Economics'!$D$18</f>
        <v>1169344941.51621</v>
      </c>
      <c r="U104" s="9" t="n">
        <f aca="false">U101*'Unit Economics'!$D$18</f>
        <v>1241343496.2896</v>
      </c>
      <c r="V104" s="9" t="n">
        <f aca="false">V101*'Unit Economics'!$D$18</f>
        <v>1314986152.56591</v>
      </c>
      <c r="W104" s="9" t="n">
        <f aca="false">W101*'Unit Economics'!$D$18</f>
        <v>1390639038.08946</v>
      </c>
      <c r="X104" s="9" t="n">
        <f aca="false">X101*'Unit Economics'!$D$18</f>
        <v>1468684198.64556</v>
      </c>
      <c r="Y104" s="9" t="n">
        <f aca="false">Y101*'Unit Economics'!$D$18</f>
        <v>1549521633.71794</v>
      </c>
      <c r="Z104" s="9" t="n">
        <f aca="false">Z101*'Unit Economics'!$D$18</f>
        <v>1633571451.55263</v>
      </c>
      <c r="AA104" s="9" t="n">
        <f aca="false">AA101*'Unit Economics'!$D$18</f>
        <v>1721276155.65707</v>
      </c>
      <c r="AB104" s="64" t="n">
        <f aca="false">SUM(D104:O104)</f>
        <v>4619580793.20534</v>
      </c>
      <c r="AC104" s="64" t="n">
        <f aca="false">SUM(P104:AA104)</f>
        <v>15273874259.6908</v>
      </c>
      <c r="AD104" s="64" t="n">
        <f aca="false">SUM(C104:AA104)</f>
        <v>19893455052.8961</v>
      </c>
    </row>
    <row r="105" customFormat="false" ht="15" hidden="false" customHeight="false" outlineLevel="0" collapsed="false">
      <c r="A105" s="4" t="s">
        <v>690</v>
      </c>
      <c r="B105" s="2" t="s">
        <v>46</v>
      </c>
      <c r="D105" s="9" t="n">
        <f aca="false">D101*'Unit Economics'!$D$8</f>
        <v>68229000</v>
      </c>
      <c r="E105" s="9" t="n">
        <f aca="false">E101*'Unit Economics'!$D$8</f>
        <v>97818840</v>
      </c>
      <c r="F105" s="9" t="n">
        <f aca="false">F101*'Unit Economics'!$D$8</f>
        <v>128810606.4</v>
      </c>
      <c r="G105" s="9" t="n">
        <f aca="false">G101*'Unit Economics'!$D$8</f>
        <v>161355063.744</v>
      </c>
      <c r="H105" s="9" t="n">
        <f aca="false">H101*'Unit Economics'!$D$8</f>
        <v>195613493.32224</v>
      </c>
      <c r="I105" s="9" t="n">
        <f aca="false">I101*'Unit Economics'!$D$8</f>
        <v>231758596.28759</v>
      </c>
      <c r="J105" s="9" t="n">
        <f aca="false">J101*'Unit Economics'!$D$8</f>
        <v>269975466.550186</v>
      </c>
      <c r="K105" s="9" t="n">
        <f aca="false">K101*'Unit Economics'!$D$8</f>
        <v>310462639.131406</v>
      </c>
      <c r="L105" s="9" t="n">
        <f aca="false">L101*'Unit Economics'!$D$8</f>
        <v>353433220.108835</v>
      </c>
      <c r="M105" s="9" t="n">
        <f aca="false">M101*'Unit Economics'!$D$8</f>
        <v>399116104.770582</v>
      </c>
      <c r="N105" s="9" t="n">
        <f aca="false">N101*'Unit Economics'!$D$8</f>
        <v>447757291.123147</v>
      </c>
      <c r="O105" s="9" t="n">
        <f aca="false">O101*'Unit Economics'!$D$8</f>
        <v>499621296.46508</v>
      </c>
      <c r="P105" s="9" t="n">
        <f aca="false">P101*'Unit Economics'!$D$8</f>
        <v>554992685.352285</v>
      </c>
      <c r="Q105" s="9" t="n">
        <f aca="false">Q101*'Unit Economics'!$D$8</f>
        <v>614177717.943666</v>
      </c>
      <c r="R105" s="9" t="n">
        <f aca="false">R101*'Unit Economics'!$D$8</f>
        <v>677506128.43183</v>
      </c>
      <c r="S105" s="9" t="n">
        <f aca="false">S101*'Unit Economics'!$D$8</f>
        <v>745333044.03694</v>
      </c>
      <c r="T105" s="9" t="n">
        <f aca="false">T101*'Unit Economics'!$D$8</f>
        <v>800884535.895271</v>
      </c>
      <c r="U105" s="9" t="n">
        <f aca="false">U101*'Unit Economics'!$D$8</f>
        <v>850196357.478092</v>
      </c>
      <c r="V105" s="9" t="n">
        <f aca="false">V101*'Unit Economics'!$D$8</f>
        <v>900634224.441</v>
      </c>
      <c r="W105" s="9" t="n">
        <f aca="false">W101*'Unit Economics'!$D$8</f>
        <v>952448897.734156</v>
      </c>
      <c r="X105" s="9" t="n">
        <f aca="false">X101*'Unit Economics'!$D$8</f>
        <v>1005902040.5765</v>
      </c>
      <c r="Y105" s="9" t="n">
        <f aca="false">Y101*'Unit Economics'!$D$8</f>
        <v>1061267612.6779</v>
      </c>
      <c r="Z105" s="9" t="n">
        <f aca="false">Z101*'Unit Economics'!$D$8</f>
        <v>1118833346.24265</v>
      </c>
      <c r="AA105" s="9" t="n">
        <f aca="false">AA101*'Unit Economics'!$D$8</f>
        <v>1178902311.9932</v>
      </c>
      <c r="AB105" s="64" t="n">
        <f aca="false">SUM(D105:O105)</f>
        <v>3163951617.90306</v>
      </c>
      <c r="AC105" s="64" t="n">
        <f aca="false">SUM(P105:AA105)</f>
        <v>10461078902.8035</v>
      </c>
      <c r="AD105" s="64" t="n">
        <f aca="false">SUM(C105:AA105)</f>
        <v>13625030520.7065</v>
      </c>
    </row>
    <row r="106" customFormat="false" ht="15" hidden="false" customHeight="false" outlineLevel="0" collapsed="false">
      <c r="A106" s="4" t="s">
        <v>691</v>
      </c>
      <c r="B106" s="2" t="s">
        <v>46</v>
      </c>
      <c r="D106" s="9" t="n">
        <f aca="false">D101*'Unit Economics'!$D$47</f>
        <v>4434885</v>
      </c>
      <c r="E106" s="9" t="n">
        <f aca="false">E101*'Unit Economics'!$D$47</f>
        <v>6358224.6</v>
      </c>
      <c r="F106" s="9" t="n">
        <f aca="false">F101*'Unit Economics'!$D$47</f>
        <v>8372689.416</v>
      </c>
      <c r="G106" s="9" t="n">
        <f aca="false">G101*'Unit Economics'!$D$47</f>
        <v>10488079.14336</v>
      </c>
      <c r="H106" s="9" t="n">
        <f aca="false">H101*'Unit Economics'!$D$47</f>
        <v>12714877.0659456</v>
      </c>
      <c r="I106" s="9" t="n">
        <f aca="false">I101*'Unit Economics'!$D$47</f>
        <v>15064308.7586934</v>
      </c>
      <c r="J106" s="9" t="n">
        <f aca="false">J101*'Unit Economics'!$D$47</f>
        <v>17548405.3257621</v>
      </c>
      <c r="K106" s="9" t="n">
        <f aca="false">K101*'Unit Economics'!$D$47</f>
        <v>20180071.5435414</v>
      </c>
      <c r="L106" s="9" t="n">
        <f aca="false">L101*'Unit Economics'!$D$47</f>
        <v>22973159.3070743</v>
      </c>
      <c r="M106" s="9" t="n">
        <f aca="false">M101*'Unit Economics'!$D$47</f>
        <v>25942546.8100878</v>
      </c>
      <c r="N106" s="9" t="n">
        <f aca="false">N101*'Unit Economics'!$D$47</f>
        <v>29104223.9230045</v>
      </c>
      <c r="O106" s="9" t="n">
        <f aca="false">O101*'Unit Economics'!$D$47</f>
        <v>32475384.2702302</v>
      </c>
      <c r="P106" s="9" t="n">
        <f aca="false">P101*'Unit Economics'!$D$47</f>
        <v>36074524.5478985</v>
      </c>
      <c r="Q106" s="9" t="n">
        <f aca="false">Q101*'Unit Economics'!$D$47</f>
        <v>39921551.6663383</v>
      </c>
      <c r="R106" s="9" t="n">
        <f aca="false">R101*'Unit Economics'!$D$47</f>
        <v>44037898.3480689</v>
      </c>
      <c r="S106" s="9" t="n">
        <f aca="false">S101*'Unit Economics'!$D$47</f>
        <v>48446647.8624011</v>
      </c>
      <c r="T106" s="9" t="n">
        <f aca="false">T101*'Unit Economics'!$D$47</f>
        <v>52057494.8331926</v>
      </c>
      <c r="U106" s="9" t="n">
        <f aca="false">U101*'Unit Economics'!$D$47</f>
        <v>55262763.236076</v>
      </c>
      <c r="V106" s="9" t="n">
        <f aca="false">V101*'Unit Economics'!$D$47</f>
        <v>58541224.588665</v>
      </c>
      <c r="W106" s="9" t="n">
        <f aca="false">W101*'Unit Economics'!$D$47</f>
        <v>61909178.3527201</v>
      </c>
      <c r="X106" s="9" t="n">
        <f aca="false">X101*'Unit Economics'!$D$47</f>
        <v>65383632.6374728</v>
      </c>
      <c r="Y106" s="9" t="n">
        <f aca="false">Y101*'Unit Economics'!$D$47</f>
        <v>68982394.8240632</v>
      </c>
      <c r="Z106" s="9" t="n">
        <f aca="false">Z101*'Unit Economics'!$D$47</f>
        <v>72724167.5057721</v>
      </c>
      <c r="AA106" s="9" t="n">
        <f aca="false">AA101*'Unit Economics'!$D$47</f>
        <v>76628650.2795579</v>
      </c>
      <c r="AB106" s="64" t="n">
        <f aca="false">SUM(D106:O106)</f>
        <v>205656855.163699</v>
      </c>
      <c r="AC106" s="64" t="n">
        <f aca="false">SUM(P106:AA106)</f>
        <v>679970128.682226</v>
      </c>
      <c r="AD106" s="64" t="n">
        <f aca="false">SUM(C106:AA106)</f>
        <v>885626983.845926</v>
      </c>
    </row>
    <row r="107" customFormat="false" ht="15" hidden="false" customHeight="false" outlineLevel="0" collapsed="false">
      <c r="A107" s="4" t="s">
        <v>692</v>
      </c>
      <c r="B107" s="2" t="s">
        <v>46</v>
      </c>
      <c r="D107" s="9" t="n">
        <f aca="false">-D101*IF(D$5&lt;=6,Asumsi!$E$68,Asumsi!$E$69)*'Unit Economics'!$D$13</f>
        <v>-409374</v>
      </c>
      <c r="E107" s="9" t="n">
        <f aca="false">-E101*IF(E$5&lt;=6,Asumsi!$E$68,Asumsi!$E$69)*'Unit Economics'!$D$13</f>
        <v>-586913.04</v>
      </c>
      <c r="F107" s="9" t="n">
        <f aca="false">-F101*IF(F$5&lt;=6,Asumsi!$E$68,Asumsi!$E$69)*'Unit Economics'!$D$13</f>
        <v>-772863.6384</v>
      </c>
      <c r="G107" s="9" t="n">
        <f aca="false">-G101*IF(G$5&lt;=6,Asumsi!$E$68,Asumsi!$E$69)*'Unit Economics'!$D$13</f>
        <v>-968130.382464</v>
      </c>
      <c r="H107" s="9" t="n">
        <f aca="false">-H101*IF(H$5&lt;=6,Asumsi!$E$68,Asumsi!$E$69)*'Unit Economics'!$D$13</f>
        <v>-1173680.95993344</v>
      </c>
      <c r="I107" s="9" t="n">
        <f aca="false">-I101*IF(I$5&lt;=6,Asumsi!$E$68,Asumsi!$E$69)*'Unit Economics'!$D$13</f>
        <v>-1390551.57772554</v>
      </c>
      <c r="J107" s="9" t="n">
        <f aca="false">-J101*IF(J$5&lt;=6,Asumsi!$E$68,Asumsi!$E$69)*'Unit Economics'!$D$13</f>
        <v>-539950.933100372</v>
      </c>
      <c r="K107" s="9" t="n">
        <f aca="false">-K101*IF(K$5&lt;=6,Asumsi!$E$68,Asumsi!$E$69)*'Unit Economics'!$D$13</f>
        <v>-620925.278262811</v>
      </c>
      <c r="L107" s="9" t="n">
        <f aca="false">-L101*IF(L$5&lt;=6,Asumsi!$E$68,Asumsi!$E$69)*'Unit Economics'!$D$13</f>
        <v>-706866.44021767</v>
      </c>
      <c r="M107" s="9" t="n">
        <f aca="false">-M101*IF(M$5&lt;=6,Asumsi!$E$68,Asumsi!$E$69)*'Unit Economics'!$D$13</f>
        <v>-798232.209541163</v>
      </c>
      <c r="N107" s="9" t="n">
        <f aca="false">-N101*IF(N$5&lt;=6,Asumsi!$E$68,Asumsi!$E$69)*'Unit Economics'!$D$13</f>
        <v>-895514.582246293</v>
      </c>
      <c r="O107" s="9" t="n">
        <f aca="false">-O101*IF(O$5&lt;=6,Asumsi!$E$68,Asumsi!$E$69)*'Unit Economics'!$D$13</f>
        <v>-999242.59293016</v>
      </c>
      <c r="P107" s="9" t="n">
        <f aca="false">-P101*IF(P$5&lt;=6,Asumsi!$E$68,Asumsi!$E$69)*'Unit Economics'!$D$13</f>
        <v>-1109985.37070457</v>
      </c>
      <c r="Q107" s="9" t="n">
        <f aca="false">-Q101*IF(Q$5&lt;=6,Asumsi!$E$68,Asumsi!$E$69)*'Unit Economics'!$D$13</f>
        <v>-1228355.43588733</v>
      </c>
      <c r="R107" s="9" t="n">
        <f aca="false">-R101*IF(R$5&lt;=6,Asumsi!$E$68,Asumsi!$E$69)*'Unit Economics'!$D$13</f>
        <v>-1355012.25686366</v>
      </c>
      <c r="S107" s="9" t="n">
        <f aca="false">-S101*IF(S$5&lt;=6,Asumsi!$E$68,Asumsi!$E$69)*'Unit Economics'!$D$13</f>
        <v>-1490666.08807388</v>
      </c>
      <c r="T107" s="9" t="n">
        <f aca="false">-T101*IF(T$5&lt;=6,Asumsi!$E$68,Asumsi!$E$69)*'Unit Economics'!$D$13</f>
        <v>-1601769.07179054</v>
      </c>
      <c r="U107" s="9" t="n">
        <f aca="false">-U101*IF(U$5&lt;=6,Asumsi!$E$68,Asumsi!$E$69)*'Unit Economics'!$D$13</f>
        <v>-1700392.71495618</v>
      </c>
      <c r="V107" s="9" t="n">
        <f aca="false">-V101*IF(V$5&lt;=6,Asumsi!$E$68,Asumsi!$E$69)*'Unit Economics'!$D$13</f>
        <v>-1801268.448882</v>
      </c>
      <c r="W107" s="9" t="n">
        <f aca="false">-W101*IF(W$5&lt;=6,Asumsi!$E$68,Asumsi!$E$69)*'Unit Economics'!$D$13</f>
        <v>-1904897.79546831</v>
      </c>
      <c r="X107" s="9" t="n">
        <f aca="false">-X101*IF(X$5&lt;=6,Asumsi!$E$68,Asumsi!$E$69)*'Unit Economics'!$D$13</f>
        <v>-2011804.08115301</v>
      </c>
      <c r="Y107" s="9" t="n">
        <f aca="false">-Y101*IF(Y$5&lt;=6,Asumsi!$E$68,Asumsi!$E$69)*'Unit Economics'!$D$13</f>
        <v>-2122535.22535579</v>
      </c>
      <c r="Z107" s="9" t="n">
        <f aca="false">-Z101*IF(Z$5&lt;=6,Asumsi!$E$68,Asumsi!$E$69)*'Unit Economics'!$D$13</f>
        <v>-2237666.69248529</v>
      </c>
      <c r="AA107" s="9" t="n">
        <f aca="false">-AA101*IF(AA$5&lt;=6,Asumsi!$E$68,Asumsi!$E$69)*'Unit Economics'!$D$13</f>
        <v>-2357804.6239864</v>
      </c>
      <c r="AB107" s="64" t="n">
        <f aca="false">SUM(D107:O107)</f>
        <v>-9862245.63482145</v>
      </c>
      <c r="AC107" s="64" t="n">
        <f aca="false">SUM(P107:AA107)</f>
        <v>-20922157.805607</v>
      </c>
      <c r="AD107" s="64" t="n">
        <f aca="false">SUM(C107:AA107)</f>
        <v>-30784403.4404284</v>
      </c>
    </row>
    <row r="108" customFormat="false" ht="15" hidden="false" customHeight="false" outlineLevel="0" collapsed="false">
      <c r="A108" s="4" t="s">
        <v>693</v>
      </c>
      <c r="B108" s="2" t="s">
        <v>46</v>
      </c>
      <c r="D108" s="36" t="n">
        <f aca="false">-D92*D93</f>
        <v>-30187.5</v>
      </c>
      <c r="E108" s="36" t="n">
        <f aca="false">-E92*E93</f>
        <v>-47664.2647869955</v>
      </c>
      <c r="F108" s="36" t="n">
        <f aca="false">-F92*F93</f>
        <v>-71262.1710747221</v>
      </c>
      <c r="G108" s="36" t="n">
        <f aca="false">-G92*G93</f>
        <v>-100010.034631346</v>
      </c>
      <c r="H108" s="36" t="n">
        <f aca="false">-H92*H93</f>
        <v>-138299.956503002</v>
      </c>
      <c r="I108" s="36" t="n">
        <f aca="false">-I92*I93</f>
        <v>-181558.094535952</v>
      </c>
      <c r="J108" s="36" t="n">
        <f aca="false">-J92*J93</f>
        <v>-229273.909182051</v>
      </c>
      <c r="K108" s="36" t="n">
        <f aca="false">-K92*K93</f>
        <v>-281050.960734548</v>
      </c>
      <c r="L108" s="36" t="n">
        <f aca="false">-L92*L93</f>
        <v>-336605.420092405</v>
      </c>
      <c r="M108" s="36" t="n">
        <f aca="false">-M92*M93</f>
        <v>-395758.267752903</v>
      </c>
      <c r="N108" s="36" t="n">
        <f aca="false">-N92*N93</f>
        <v>-458424.919143966</v>
      </c>
      <c r="O108" s="36" t="n">
        <f aca="false">-O92*O93</f>
        <v>-524604.578164595</v>
      </c>
      <c r="P108" s="36" t="n">
        <f aca="false">-P92*P93</f>
        <v>-594370.54346052</v>
      </c>
      <c r="Q108" s="36" t="n">
        <f aca="false">-Q92*Q93</f>
        <v>-674592.182767431</v>
      </c>
      <c r="R108" s="36" t="n">
        <f aca="false">-R92*R93</f>
        <v>-758481.972995605</v>
      </c>
      <c r="S108" s="36" t="n">
        <f aca="false">-S92*S93</f>
        <v>-846307.321701116</v>
      </c>
      <c r="T108" s="36" t="n">
        <f aca="false">-T92*T93</f>
        <v>-938384.461806543</v>
      </c>
      <c r="U108" s="36" t="n">
        <f aca="false">-U92*U93</f>
        <v>-1031473.93361096</v>
      </c>
      <c r="V108" s="36" t="n">
        <f aca="false">-V92*V93</f>
        <v>-1124221.49641272</v>
      </c>
      <c r="W108" s="36" t="n">
        <f aca="false">-W92*W93</f>
        <v>-1217043.77429618</v>
      </c>
      <c r="X108" s="36" t="n">
        <f aca="false">-X92*X93</f>
        <v>-1310365.4145946</v>
      </c>
      <c r="Y108" s="36" t="n">
        <f aca="false">-Y92*Y93</f>
        <v>-1404621.17223068</v>
      </c>
      <c r="Z108" s="36" t="n">
        <f aca="false">-Z92*Z93</f>
        <v>-1500258.07858294</v>
      </c>
      <c r="AA108" s="36" t="n">
        <f aca="false">-AA92*AA93</f>
        <v>-1597737.70632667</v>
      </c>
      <c r="AB108" s="64" t="n">
        <f aca="false">SUM(D108:O108)</f>
        <v>-2794700.07660249</v>
      </c>
      <c r="AC108" s="64" t="n">
        <f aca="false">SUM(P108:AA108)</f>
        <v>-12997858.058786</v>
      </c>
      <c r="AD108" s="64" t="n">
        <f aca="false">SUM(C108:AA108)</f>
        <v>-15792558.1353884</v>
      </c>
    </row>
    <row r="109" customFormat="false" ht="15" hidden="false" customHeight="false" outlineLevel="0" collapsed="false">
      <c r="A109" s="4" t="s">
        <v>694</v>
      </c>
      <c r="B109" s="2" t="s">
        <v>46</v>
      </c>
      <c r="D109" s="9" t="n">
        <f aca="false">-D82*Asumsi!$E$100*Asumsi!$E$101*MIN(Asumsi!$E$99,Asumsi!$E$94/Asumsi!$E$98)*Asumsi!$E$102</f>
        <v>-67500</v>
      </c>
      <c r="E109" s="9" t="n">
        <f aca="false">-E82*Asumsi!$E$100*Asumsi!$E$101*MIN(Asumsi!$E$99,Asumsi!$E$94/Asumsi!$E$98)*Asumsi!$E$102</f>
        <v>-72900</v>
      </c>
      <c r="F109" s="9" t="n">
        <f aca="false">-F82*Asumsi!$E$100*Asumsi!$E$101*MIN(Asumsi!$E$99,Asumsi!$E$94/Asumsi!$E$98)*Asumsi!$E$102</f>
        <v>-78732</v>
      </c>
      <c r="G109" s="9" t="n">
        <f aca="false">-G82*Asumsi!$E$100*Asumsi!$E$101*MIN(Asumsi!$E$99,Asumsi!$E$94/Asumsi!$E$98)*Asumsi!$E$102</f>
        <v>-85030.56</v>
      </c>
      <c r="H109" s="9" t="n">
        <f aca="false">-H82*Asumsi!$E$100*Asumsi!$E$101*MIN(Asumsi!$E$99,Asumsi!$E$94/Asumsi!$E$98)*Asumsi!$E$102</f>
        <v>-91833.0048</v>
      </c>
      <c r="I109" s="9" t="n">
        <f aca="false">-I82*Asumsi!$E$100*Asumsi!$E$101*MIN(Asumsi!$E$99,Asumsi!$E$94/Asumsi!$E$98)*Asumsi!$E$102</f>
        <v>-99179.645184</v>
      </c>
      <c r="J109" s="9" t="n">
        <f aca="false">-J82*Asumsi!$E$100*Asumsi!$E$101*MIN(Asumsi!$E$99,Asumsi!$E$94/Asumsi!$E$98)*Asumsi!$E$102</f>
        <v>-107114.01679872</v>
      </c>
      <c r="K109" s="9" t="n">
        <f aca="false">-K82*Asumsi!$E$100*Asumsi!$E$101*MIN(Asumsi!$E$99,Asumsi!$E$94/Asumsi!$E$98)*Asumsi!$E$102</f>
        <v>-115683.138142618</v>
      </c>
      <c r="L109" s="9" t="n">
        <f aca="false">-L82*Asumsi!$E$100*Asumsi!$E$101*MIN(Asumsi!$E$99,Asumsi!$E$94/Asumsi!$E$98)*Asumsi!$E$102</f>
        <v>-124937.789194027</v>
      </c>
      <c r="M109" s="9" t="n">
        <f aca="false">-M82*Asumsi!$E$100*Asumsi!$E$101*MIN(Asumsi!$E$99,Asumsi!$E$94/Asumsi!$E$98)*Asumsi!$E$102</f>
        <v>-134932.812329549</v>
      </c>
      <c r="N109" s="9" t="n">
        <f aca="false">-N82*Asumsi!$E$100*Asumsi!$E$101*MIN(Asumsi!$E$99,Asumsi!$E$94/Asumsi!$E$98)*Asumsi!$E$102</f>
        <v>-145727.437315913</v>
      </c>
      <c r="O109" s="9" t="n">
        <f aca="false">-O82*Asumsi!$E$100*Asumsi!$E$101*MIN(Asumsi!$E$99,Asumsi!$E$94/Asumsi!$E$98)*Asumsi!$E$102</f>
        <v>-157385.632301186</v>
      </c>
      <c r="P109" s="9" t="n">
        <f aca="false">-P82*Asumsi!$E$100*Asumsi!$E$101*MIN(Asumsi!$E$99,Asumsi!$E$94/Asumsi!$E$98)*Asumsi!$E$102</f>
        <v>-169976.482885281</v>
      </c>
      <c r="Q109" s="9" t="n">
        <f aca="false">-Q82*Asumsi!$E$100*Asumsi!$E$101*MIN(Asumsi!$E$99,Asumsi!$E$94/Asumsi!$E$98)*Asumsi!$E$102</f>
        <v>-183574.601516104</v>
      </c>
      <c r="R109" s="9" t="n">
        <f aca="false">-R82*Asumsi!$E$100*Asumsi!$E$101*MIN(Asumsi!$E$99,Asumsi!$E$94/Asumsi!$E$98)*Asumsi!$E$102</f>
        <v>-198260.569637392</v>
      </c>
      <c r="S109" s="9" t="n">
        <f aca="false">-S82*Asumsi!$E$100*Asumsi!$E$101*MIN(Asumsi!$E$99,Asumsi!$E$94/Asumsi!$E$98)*Asumsi!$E$102</f>
        <v>-214121.415208383</v>
      </c>
      <c r="T109" s="9" t="n">
        <f aca="false">-T82*Asumsi!$E$100*Asumsi!$E$101*MIN(Asumsi!$E$99,Asumsi!$E$94/Asumsi!$E$98)*Asumsi!$E$102</f>
        <v>-231251.128425054</v>
      </c>
      <c r="U109" s="9" t="n">
        <f aca="false">-U82*Asumsi!$E$100*Asumsi!$E$101*MIN(Asumsi!$E$99,Asumsi!$E$94/Asumsi!$E$98)*Asumsi!$E$102</f>
        <v>-249751.218699058</v>
      </c>
      <c r="V109" s="9" t="n">
        <f aca="false">-V82*Asumsi!$E$100*Asumsi!$E$101*MIN(Asumsi!$E$99,Asumsi!$E$94/Asumsi!$E$98)*Asumsi!$E$102</f>
        <v>-269731.316194983</v>
      </c>
      <c r="W109" s="9" t="n">
        <f aca="false">-W82*Asumsi!$E$100*Asumsi!$E$101*MIN(Asumsi!$E$99,Asumsi!$E$94/Asumsi!$E$98)*Asumsi!$E$102</f>
        <v>-291309.821490582</v>
      </c>
      <c r="X109" s="9" t="n">
        <f aca="false">-X82*Asumsi!$E$100*Asumsi!$E$101*MIN(Asumsi!$E$99,Asumsi!$E$94/Asumsi!$E$98)*Asumsi!$E$102</f>
        <v>-314614.607209828</v>
      </c>
      <c r="Y109" s="9" t="n">
        <f aca="false">-Y82*Asumsi!$E$100*Asumsi!$E$101*MIN(Asumsi!$E$99,Asumsi!$E$94/Asumsi!$E$98)*Asumsi!$E$102</f>
        <v>-339783.775786615</v>
      </c>
      <c r="Z109" s="9" t="n">
        <f aca="false">-Z82*Asumsi!$E$100*Asumsi!$E$101*MIN(Asumsi!$E$99,Asumsi!$E$94/Asumsi!$E$98)*Asumsi!$E$102</f>
        <v>-366966.477849544</v>
      </c>
      <c r="AA109" s="9" t="n">
        <f aca="false">-AA82*Asumsi!$E$100*Asumsi!$E$101*MIN(Asumsi!$E$99,Asumsi!$E$94/Asumsi!$E$98)*Asumsi!$E$102</f>
        <v>-396323.796077507</v>
      </c>
      <c r="AB109" s="64" t="n">
        <f aca="false">SUM(D109:O109)</f>
        <v>-1280956.03606601</v>
      </c>
      <c r="AC109" s="64" t="n">
        <f aca="false">SUM(P109:AA109)</f>
        <v>-3225665.21098033</v>
      </c>
      <c r="AD109" s="64" t="n">
        <f aca="false">SUM(C109:AA109)</f>
        <v>-4506621.24704635</v>
      </c>
    </row>
    <row r="110" customFormat="false" ht="15" hidden="false" customHeight="false" outlineLevel="0" collapsed="false">
      <c r="A110" s="25" t="s">
        <v>695</v>
      </c>
      <c r="B110" s="2" t="s">
        <v>46</v>
      </c>
      <c r="C110" s="64" t="n">
        <f aca="false">SUM(C106:C109)</f>
        <v>0</v>
      </c>
      <c r="D110" s="64" t="n">
        <f aca="false">SUM(D106:D109)</f>
        <v>3927823.5</v>
      </c>
      <c r="E110" s="64" t="n">
        <f aca="false">SUM(E106:E109)</f>
        <v>5650747.29521301</v>
      </c>
      <c r="F110" s="64" t="n">
        <f aca="false">SUM(F106:F109)</f>
        <v>7449831.60652528</v>
      </c>
      <c r="G110" s="64" t="n">
        <f aca="false">SUM(G106:G109)</f>
        <v>9334908.16626465</v>
      </c>
      <c r="H110" s="64" t="n">
        <f aca="false">SUM(H106:H109)</f>
        <v>11311063.1447092</v>
      </c>
      <c r="I110" s="64" t="n">
        <f aca="false">SUM(I106:I109)</f>
        <v>13393019.4412479</v>
      </c>
      <c r="J110" s="64" t="n">
        <f aca="false">SUM(J106:J109)</f>
        <v>16672066.4666809</v>
      </c>
      <c r="K110" s="64" t="n">
        <f aca="false">SUM(K106:K109)</f>
        <v>19162412.1664014</v>
      </c>
      <c r="L110" s="64" t="n">
        <f aca="false">SUM(L106:L109)</f>
        <v>21804749.6575702</v>
      </c>
      <c r="M110" s="64" t="n">
        <f aca="false">SUM(M106:M109)</f>
        <v>24613623.5204642</v>
      </c>
      <c r="N110" s="64" t="n">
        <f aca="false">SUM(N106:N109)</f>
        <v>27604556.9842984</v>
      </c>
      <c r="O110" s="64" t="n">
        <f aca="false">SUM(O106:O109)</f>
        <v>30794151.4668343</v>
      </c>
      <c r="P110" s="64" t="n">
        <f aca="false">SUM(P106:P109)</f>
        <v>34200192.1508481</v>
      </c>
      <c r="Q110" s="64" t="n">
        <f aca="false">SUM(Q106:Q109)</f>
        <v>37835029.4461674</v>
      </c>
      <c r="R110" s="64" t="n">
        <f aca="false">SUM(R106:R109)</f>
        <v>41726143.5485723</v>
      </c>
      <c r="S110" s="64" t="n">
        <f aca="false">SUM(S106:S109)</f>
        <v>45895553.0374177</v>
      </c>
      <c r="T110" s="64" t="n">
        <f aca="false">SUM(T106:T109)</f>
        <v>49286090.1711705</v>
      </c>
      <c r="U110" s="64" t="n">
        <f aca="false">SUM(U106:U109)</f>
        <v>52281145.3688098</v>
      </c>
      <c r="V110" s="64" t="n">
        <f aca="false">SUM(V106:V109)</f>
        <v>55346003.3271753</v>
      </c>
      <c r="W110" s="64" t="n">
        <f aca="false">SUM(W106:W109)</f>
        <v>58495926.961465</v>
      </c>
      <c r="X110" s="64" t="n">
        <f aca="false">SUM(X106:X109)</f>
        <v>61746848.5345154</v>
      </c>
      <c r="Y110" s="64" t="n">
        <f aca="false">SUM(Y106:Y109)</f>
        <v>65115454.6506901</v>
      </c>
      <c r="Z110" s="64" t="n">
        <f aca="false">SUM(Z106:Z109)</f>
        <v>68619276.2568543</v>
      </c>
      <c r="AA110" s="64" t="n">
        <f aca="false">SUM(AA106:AA109)</f>
        <v>72276784.1531674</v>
      </c>
      <c r="AB110" s="64" t="n">
        <f aca="false">SUM(D110:O110)</f>
        <v>191718953.416209</v>
      </c>
      <c r="AC110" s="64" t="n">
        <f aca="false">SUM(P110:AA110)</f>
        <v>642824447.606853</v>
      </c>
      <c r="AD110" s="64" t="n">
        <f aca="false">SUM(C110:AA110)</f>
        <v>834543401.023063</v>
      </c>
    </row>
    <row r="111" customFormat="false" ht="15" hidden="false" customHeight="false" outlineLevel="0" collapsed="false">
      <c r="A111" s="4" t="s">
        <v>696</v>
      </c>
      <c r="B111" s="2" t="s">
        <v>25</v>
      </c>
      <c r="D111" s="38" t="n">
        <f aca="false">IF(D104&gt;0,D106/D104,0)</f>
        <v>0.044518510308595</v>
      </c>
      <c r="E111" s="38" t="n">
        <f aca="false">IF(E104&gt;0,E106/E104,0)</f>
        <v>0.044518510308595</v>
      </c>
      <c r="F111" s="38" t="n">
        <f aca="false">IF(F104&gt;0,F106/F104,0)</f>
        <v>0.044518510308595</v>
      </c>
      <c r="G111" s="38" t="n">
        <f aca="false">IF(G104&gt;0,G106/G104,0)</f>
        <v>0.0445185103085949</v>
      </c>
      <c r="H111" s="38" t="n">
        <f aca="false">IF(H104&gt;0,H106/H104,0)</f>
        <v>0.044518510308595</v>
      </c>
      <c r="I111" s="38" t="n">
        <f aca="false">IF(I104&gt;0,I106/I104,0)</f>
        <v>0.044518510308595</v>
      </c>
      <c r="J111" s="38" t="n">
        <f aca="false">IF(J104&gt;0,J106/J104,0)</f>
        <v>0.044518510308595</v>
      </c>
      <c r="K111" s="38" t="n">
        <f aca="false">IF(K104&gt;0,K106/K104,0)</f>
        <v>0.044518510308595</v>
      </c>
      <c r="L111" s="38" t="n">
        <f aca="false">IF(L104&gt;0,L106/L104,0)</f>
        <v>0.044518510308595</v>
      </c>
      <c r="M111" s="38" t="n">
        <f aca="false">IF(M104&gt;0,M106/M104,0)</f>
        <v>0.044518510308595</v>
      </c>
      <c r="N111" s="38" t="n">
        <f aca="false">IF(N104&gt;0,N106/N104,0)</f>
        <v>0.044518510308595</v>
      </c>
      <c r="O111" s="38" t="n">
        <f aca="false">IF(O104&gt;0,O106/O104,0)</f>
        <v>0.044518510308595</v>
      </c>
      <c r="P111" s="38" t="n">
        <f aca="false">IF(P104&gt;0,P106/P104,0)</f>
        <v>0.044518510308595</v>
      </c>
      <c r="Q111" s="38" t="n">
        <f aca="false">IF(Q104&gt;0,Q106/Q104,0)</f>
        <v>0.044518510308595</v>
      </c>
      <c r="R111" s="38" t="n">
        <f aca="false">IF(R104&gt;0,R106/R104,0)</f>
        <v>0.044518510308595</v>
      </c>
      <c r="S111" s="38" t="n">
        <f aca="false">IF(S104&gt;0,S106/S104,0)</f>
        <v>0.0445185103085949</v>
      </c>
      <c r="T111" s="38" t="n">
        <f aca="false">IF(T104&gt;0,T106/T104,0)</f>
        <v>0.044518510308595</v>
      </c>
      <c r="U111" s="38" t="n">
        <f aca="false">IF(U104&gt;0,U106/U104,0)</f>
        <v>0.044518510308595</v>
      </c>
      <c r="V111" s="38" t="n">
        <f aca="false">IF(V104&gt;0,V106/V104,0)</f>
        <v>0.044518510308595</v>
      </c>
      <c r="W111" s="38" t="n">
        <f aca="false">IF(W104&gt;0,W106/W104,0)</f>
        <v>0.044518510308595</v>
      </c>
      <c r="X111" s="38" t="n">
        <f aca="false">IF(X104&gt;0,X106/X104,0)</f>
        <v>0.044518510308595</v>
      </c>
      <c r="Y111" s="38" t="n">
        <f aca="false">IF(Y104&gt;0,Y106/Y104,0)</f>
        <v>0.044518510308595</v>
      </c>
      <c r="Z111" s="38" t="n">
        <f aca="false">IF(Z104&gt;0,Z106/Z104,0)</f>
        <v>0.044518510308595</v>
      </c>
      <c r="AA111" s="38" t="n">
        <f aca="false">IF(AA104&gt;0,AA106/AA104,0)</f>
        <v>0.044518510308595</v>
      </c>
      <c r="AB111" s="66" t="n">
        <f aca="false">IF(AB104&gt;0,AB106/AB104,0)</f>
        <v>0.044518510308595</v>
      </c>
      <c r="AC111" s="66" t="n">
        <f aca="false">IF(AC104&gt;0,AC106/AC104,0)</f>
        <v>0.0445185103085949</v>
      </c>
      <c r="AD111" s="66" t="n">
        <f aca="false">IF(AD104&gt;0,AD106/AD104,0)</f>
        <v>0.044518510308595</v>
      </c>
    </row>
    <row r="112" customFormat="false" ht="15" hidden="false" customHeight="false" outlineLevel="0" collapsed="false">
      <c r="A112" s="4" t="s">
        <v>569</v>
      </c>
      <c r="B112" s="2" t="s">
        <v>25</v>
      </c>
      <c r="D112" s="38" t="n">
        <f aca="false">IF(D104&gt;0,D110/D104,0)</f>
        <v>0.0394284972383932</v>
      </c>
      <c r="E112" s="38" t="n">
        <f aca="false">IF(E104&gt;0,E110/E104,0)</f>
        <v>0.0395649520957792</v>
      </c>
      <c r="F112" s="38" t="n">
        <f aca="false">IF(F104&gt;0,F110/F104,0)</f>
        <v>0.0396115738556606</v>
      </c>
      <c r="G112" s="38" t="n">
        <f aca="false">IF(G104&gt;0,G110/G104,0)</f>
        <v>0.0396236717657438</v>
      </c>
      <c r="H112" s="38" t="n">
        <f aca="false">IF(H104&gt;0,H110/H104,0)</f>
        <v>0.0396033464261775</v>
      </c>
      <c r="I112" s="38" t="n">
        <f aca="false">IF(I104&gt;0,I110/I104,0)</f>
        <v>0.0395794645216846</v>
      </c>
      <c r="J112" s="38" t="n">
        <f aca="false">IF(J104&gt;0,J110/J104,0)</f>
        <v>0.0422953282126952</v>
      </c>
      <c r="K112" s="38" t="n">
        <f aca="false">IF(K104&gt;0,K110/K104,0)</f>
        <v>0.0422734895526431</v>
      </c>
      <c r="L112" s="38" t="n">
        <f aca="false">IF(L104&gt;0,L110/L104,0)</f>
        <v>0.0422543090147793</v>
      </c>
      <c r="M112" s="38" t="n">
        <f aca="false">IF(M104&gt;0,M110/M104,0)</f>
        <v>0.0422380215963057</v>
      </c>
      <c r="N112" s="38" t="n">
        <f aca="false">IF(N104&gt;0,N110/N104,0)</f>
        <v>0.042224584236322</v>
      </c>
      <c r="O112" s="38" t="n">
        <f aca="false">IF(O104&gt;0,O110/O104,0)</f>
        <v>0.0422138114860551</v>
      </c>
      <c r="P112" s="38" t="n">
        <f aca="false">IF(P104&gt;0,P110/P104,0)</f>
        <v>0.0422054517947113</v>
      </c>
      <c r="Q112" s="38" t="n">
        <f aca="false">IF(Q104&gt;0,Q110/Q104,0)</f>
        <v>0.0421917254745748</v>
      </c>
      <c r="R112" s="38" t="n">
        <f aca="false">IF(R104&gt;0,R110/R104,0)</f>
        <v>0.0421815259443797</v>
      </c>
      <c r="S112" s="38" t="n">
        <f aca="false">IF(S104&gt;0,S110/S104,0)</f>
        <v>0.0421742626407936</v>
      </c>
      <c r="T112" s="38" t="n">
        <f aca="false">IF(T104&gt;0,T110/T104,0)</f>
        <v>0.0421484614345402</v>
      </c>
      <c r="U112" s="38" t="n">
        <f aca="false">IF(U104&gt;0,U110/U104,0)</f>
        <v>0.0421165821749411</v>
      </c>
      <c r="V112" s="38" t="n">
        <f aca="false">IF(V104&gt;0,V110/V104,0)</f>
        <v>0.0420886586669979</v>
      </c>
      <c r="W112" s="38" t="n">
        <f aca="false">IF(W104&gt;0,W110/W104,0)</f>
        <v>0.042064062175207</v>
      </c>
      <c r="X112" s="38" t="n">
        <f aca="false">IF(X104&gt;0,X110/X104,0)</f>
        <v>0.0420422910462707</v>
      </c>
      <c r="Y112" s="38" t="n">
        <f aca="false">IF(Y104&gt;0,Y110/Y104,0)</f>
        <v>0.04202294000533</v>
      </c>
      <c r="Z112" s="38" t="n">
        <f aca="false">IF(Z104&gt;0,Z110/Z104,0)</f>
        <v>0.0420056779222207</v>
      </c>
      <c r="AA112" s="38" t="n">
        <f aca="false">IF(AA104&gt;0,AA110/AA104,0)</f>
        <v>0.0419902314428895</v>
      </c>
      <c r="AB112" s="66" t="n">
        <f aca="false">IF(AB104&gt;0,AB110/AB104,0)</f>
        <v>0.0415013746914432</v>
      </c>
      <c r="AC112" s="66" t="n">
        <f aca="false">IF(AC104&gt;0,AC110/AC104,0)</f>
        <v>0.0420865352612814</v>
      </c>
      <c r="AD112" s="66" t="n">
        <f aca="false">IF(AD104&gt;0,AD110/AD104,0)</f>
        <v>0.0419506515486644</v>
      </c>
    </row>
    <row r="113" customFormat="false" ht="15" hidden="false" customHeight="false" outlineLevel="0" collapsed="false">
      <c r="A113" s="4" t="s">
        <v>697</v>
      </c>
      <c r="B113" s="2" t="s">
        <v>698</v>
      </c>
      <c r="D113" s="36" t="n">
        <f aca="false">IF(D101&gt;0,-(D108+D109)/D101,0)</f>
        <v>2863.5184452359</v>
      </c>
      <c r="E113" s="36" t="n">
        <f aca="false">IF(E101&gt;0,-(E108+E109)/E101,0)</f>
        <v>2465.05202447699</v>
      </c>
      <c r="F113" s="36" t="n">
        <f aca="false">IF(F101&gt;0,-(F108+F109)/F101,0)</f>
        <v>2328.91025462515</v>
      </c>
      <c r="G113" s="36" t="n">
        <f aca="false">IF(G101&gt;0,-(G108+G109)/G101,0)</f>
        <v>2293.58274029658</v>
      </c>
      <c r="H113" s="36" t="n">
        <f aca="false">IF(H101&gt;0,-(H108+H109)/H101,0)</f>
        <v>2352.93544831181</v>
      </c>
      <c r="I113" s="36" t="n">
        <f aca="false">IF(I101&gt;0,-(I108+I109)/I101,0)</f>
        <v>2422.67380124777</v>
      </c>
      <c r="J113" s="36" t="n">
        <f aca="false">IF(J101&gt;0,-(J108+J109)/J101,0)</f>
        <v>2491.98884831441</v>
      </c>
      <c r="K113" s="36" t="n">
        <f aca="false">IF(K101&gt;0,-(K108+K109)/K101,0)</f>
        <v>2555.76065440354</v>
      </c>
      <c r="L113" s="36" t="n">
        <f aca="false">IF(L101&gt;0,-(L108+L109)/L101,0)</f>
        <v>2611.77038844456</v>
      </c>
      <c r="M113" s="36" t="n">
        <f aca="false">IF(M101&gt;0,-(M108+M109)/M101,0)</f>
        <v>2659.33182720102</v>
      </c>
      <c r="N113" s="36" t="n">
        <f aca="false">IF(N101&gt;0,-(N108+N109)/N101,0)</f>
        <v>2698.57071425653</v>
      </c>
      <c r="O113" s="36" t="n">
        <f aca="false">IF(O101&gt;0,-(O108+O109)/O101,0)</f>
        <v>2730.02858481413</v>
      </c>
      <c r="P113" s="36" t="n">
        <f aca="false">IF(P101&gt;0,-(P108+P109)/P101,0)</f>
        <v>2754.44000081056</v>
      </c>
      <c r="Q113" s="36" t="n">
        <f aca="false">IF(Q101&gt;0,-(Q108+Q109)/Q101,0)</f>
        <v>2794.522690132</v>
      </c>
      <c r="R113" s="36" t="n">
        <f aca="false">IF(R101&gt;0,-(R108+R109)/R101,0)</f>
        <v>2824.30668146868</v>
      </c>
      <c r="S113" s="36" t="n">
        <f aca="false">IF(S101&gt;0,-(S108+S109)/S101,0)</f>
        <v>2845.51649868067</v>
      </c>
      <c r="T113" s="36" t="n">
        <f aca="false">IF(T101&gt;0,-(T108+T109)/T101,0)</f>
        <v>2920.85946927198</v>
      </c>
      <c r="U113" s="36" t="n">
        <f aca="false">IF(U101&gt;0,-(U108+U109)/U101,0)</f>
        <v>3013.95116796424</v>
      </c>
      <c r="V113" s="36" t="n">
        <f aca="false">IF(V101&gt;0,-(V108+V109)/V101,0)</f>
        <v>3095.49154313537</v>
      </c>
      <c r="W113" s="36" t="n">
        <f aca="false">IF(W101&gt;0,-(W108+W109)/W101,0)</f>
        <v>3167.31658648581</v>
      </c>
      <c r="X113" s="36" t="n">
        <f aca="false">IF(X101&gt;0,-(X108+X109)/X101,0)</f>
        <v>3230.89119269132</v>
      </c>
      <c r="Y113" s="36" t="n">
        <f aca="false">IF(Y101&gt;0,-(Y108+Y109)/Y101,0)</f>
        <v>3287.39881850467</v>
      </c>
      <c r="Z113" s="36" t="n">
        <f aca="false">IF(Z101&gt;0,-(Z108+Z109)/Z101,0)</f>
        <v>3337.80640826114</v>
      </c>
      <c r="AA113" s="36" t="n">
        <f aca="false">IF(AA101&gt;0,-(AA108+AA109)/AA101,0)</f>
        <v>3382.91219233046</v>
      </c>
      <c r="AB113" s="64" t="n">
        <f aca="false">IF(AB101&gt;0,-(AB108+AB109)/AB101,0)</f>
        <v>2576.30748182532</v>
      </c>
      <c r="AC113" s="64" t="n">
        <f aca="false">IF(AC101&gt;0,-(AC108+AC109)/AC101,0)</f>
        <v>3101.69217162075</v>
      </c>
      <c r="AD113" s="64" t="n">
        <f aca="false">IF(AD101&gt;0,-(AD108+AD109)/AD101,0)</f>
        <v>2979.68938147849</v>
      </c>
    </row>
    <row r="114" customFormat="false" ht="15" hidden="false" customHeight="false" outlineLevel="0" collapsed="false">
      <c r="A114" s="7" t="s">
        <v>699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customFormat="false" ht="15" hidden="false" customHeight="false" outlineLevel="0" collapsed="false">
      <c r="A115" s="4" t="s">
        <v>700</v>
      </c>
      <c r="B115" s="2" t="s">
        <v>46</v>
      </c>
      <c r="D115" s="9" t="n">
        <f aca="false">D101*'Unit Economics'!$D$35</f>
        <v>553790.91285</v>
      </c>
      <c r="E115" s="9" t="n">
        <f aca="false">E101*'Unit Economics'!$D$35</f>
        <v>793961.287686</v>
      </c>
      <c r="F115" s="9" t="n">
        <f aca="false">F101*'Unit Economics'!$D$35</f>
        <v>1045510.60843656</v>
      </c>
      <c r="G115" s="9" t="n">
        <f aca="false">G101*'Unit Economics'!$D$35</f>
        <v>1309662.57813774</v>
      </c>
      <c r="H115" s="9" t="n">
        <f aca="false">H101*'Unit Economics'!$D$35</f>
        <v>1587726.26057396</v>
      </c>
      <c r="I115" s="9" t="n">
        <f aca="false">I101*'Unit Economics'!$D$35</f>
        <v>1881103.41055767</v>
      </c>
      <c r="J115" s="9" t="n">
        <f aca="false">J101*'Unit Economics'!$D$35</f>
        <v>2191296.37057457</v>
      </c>
      <c r="K115" s="9" t="n">
        <f aca="false">K101*'Unit Economics'!$D$35</f>
        <v>2519916.57990592</v>
      </c>
      <c r="L115" s="9" t="n">
        <f aca="false">L101*'Unit Economics'!$D$35</f>
        <v>2868693.74599637</v>
      </c>
      <c r="M115" s="9" t="n">
        <f aca="false">M101*'Unit Economics'!$D$35</f>
        <v>3239485.73178614</v>
      </c>
      <c r="N115" s="9" t="n">
        <f aca="false">N101*'Unit Economics'!$D$35</f>
        <v>3634289.21699469</v>
      </c>
      <c r="O115" s="9" t="n">
        <f aca="false">O101*'Unit Economics'!$D$35</f>
        <v>4055251.19595329</v>
      </c>
      <c r="P115" s="9" t="n">
        <f aca="false">P101*'Unit Economics'!$D$35</f>
        <v>4504681.37956462</v>
      </c>
      <c r="Q115" s="9" t="n">
        <f aca="false">Q101*'Unit Economics'!$D$35</f>
        <v>4985065.57434746</v>
      </c>
      <c r="R115" s="9" t="n">
        <f aca="false">R101*'Unit Economics'!$D$35</f>
        <v>5499080.11733621</v>
      </c>
      <c r="S115" s="9" t="n">
        <f aca="false">S101*'Unit Economics'!$D$35</f>
        <v>6049607.45188243</v>
      </c>
      <c r="T115" s="9" t="n">
        <f aca="false">T101*'Unit Economics'!$D$35</f>
        <v>6500499.46827435</v>
      </c>
      <c r="U115" s="9" t="n">
        <f aca="false">U101*'Unit Economics'!$D$35</f>
        <v>6900746.26492455</v>
      </c>
      <c r="V115" s="9" t="n">
        <f aca="false">V101*'Unit Economics'!$D$35</f>
        <v>7310132.77780904</v>
      </c>
      <c r="W115" s="9" t="n">
        <f aca="false">W101*'Unit Economics'!$D$35</f>
        <v>7730694.34579393</v>
      </c>
      <c r="X115" s="9" t="n">
        <f aca="false">X101*'Unit Economics'!$D$35</f>
        <v>8164554.79764528</v>
      </c>
      <c r="Y115" s="9" t="n">
        <f aca="false">Y101*'Unit Economics'!$D$35</f>
        <v>8613937.76844204</v>
      </c>
      <c r="Z115" s="9" t="n">
        <f aca="false">Z101*'Unit Economics'!$D$35</f>
        <v>9081178.67978038</v>
      </c>
      <c r="AA115" s="9" t="n">
        <f aca="false">AA101*'Unit Economics'!$D$35</f>
        <v>9568737.4506396</v>
      </c>
      <c r="AB115" s="64" t="n">
        <f aca="false">SUM(D115:O115)</f>
        <v>25680687.8994529</v>
      </c>
      <c r="AC115" s="64" t="n">
        <f aca="false">SUM(P115:AA115)</f>
        <v>84908916.0764399</v>
      </c>
      <c r="AD115" s="64" t="n">
        <f aca="false">SUM(C115:AA115)</f>
        <v>110589603.975893</v>
      </c>
    </row>
    <row r="116" customFormat="false" ht="15" hidden="false" customHeight="false" outlineLevel="0" collapsed="false">
      <c r="A116" s="4" t="s">
        <v>701</v>
      </c>
      <c r="B116" s="2" t="s">
        <v>46</v>
      </c>
      <c r="D116" s="9" t="n">
        <f aca="false">-D101*'Unit Economics'!$D$52</f>
        <v>170401.9275</v>
      </c>
      <c r="E116" s="9" t="n">
        <f aca="false">-E101*'Unit Economics'!$D$52</f>
        <v>244302.5529</v>
      </c>
      <c r="F116" s="9" t="n">
        <f aca="false">-F101*'Unit Economics'!$D$52</f>
        <v>321704.489484</v>
      </c>
      <c r="G116" s="9" t="n">
        <f aca="false">-G101*'Unit Economics'!$D$52</f>
        <v>402984.27170064</v>
      </c>
      <c r="H116" s="9" t="n">
        <f aca="false">-H101*'Unit Economics'!$D$52</f>
        <v>488544.699572295</v>
      </c>
      <c r="I116" s="9" t="n">
        <f aca="false">-I101*'Unit Economics'!$D$52</f>
        <v>578817.094228257</v>
      </c>
      <c r="J116" s="9" t="n">
        <f aca="false">-J101*'Unit Economics'!$D$52</f>
        <v>674263.727709089</v>
      </c>
      <c r="K116" s="9" t="n">
        <f aca="false">-K101*'Unit Economics'!$D$52</f>
        <v>775380.441230686</v>
      </c>
      <c r="L116" s="9" t="n">
        <f aca="false">-L101*'Unit Economics'!$D$52</f>
        <v>882699.467221815</v>
      </c>
      <c r="M116" s="9" t="n">
        <f aca="false">-M101*'Unit Economics'!$D$52</f>
        <v>996792.471664528</v>
      </c>
      <c r="N116" s="9" t="n">
        <f aca="false">-N101*'Unit Economics'!$D$52</f>
        <v>1118273.83458006</v>
      </c>
      <c r="O116" s="9" t="n">
        <f aca="false">-O101*'Unit Economics'!$D$52</f>
        <v>1247804.18792154</v>
      </c>
      <c r="P116" s="9" t="n">
        <f aca="false">-P101*'Unit Economics'!$D$52</f>
        <v>1386094.23166733</v>
      </c>
      <c r="Q116" s="9" t="n">
        <f aca="false">-Q101*'Unit Economics'!$D$52</f>
        <v>1533908.85056431</v>
      </c>
      <c r="R116" s="9" t="n">
        <f aca="false">-R101*'Unit Economics'!$D$52</f>
        <v>1692071.55575849</v>
      </c>
      <c r="S116" s="9" t="n">
        <f aca="false">-S101*'Unit Economics'!$D$52</f>
        <v>1861469.27748226</v>
      </c>
      <c r="T116" s="9" t="n">
        <f aca="false">-T101*'Unit Economics'!$D$52</f>
        <v>2000209.12839844</v>
      </c>
      <c r="U116" s="9" t="n">
        <f aca="false">-U101*'Unit Economics'!$D$52</f>
        <v>2123365.40280153</v>
      </c>
      <c r="V116" s="9" t="n">
        <f aca="false">-V101*'Unit Economics'!$D$52</f>
        <v>2249333.9755414</v>
      </c>
      <c r="W116" s="9" t="n">
        <f aca="false">-W101*'Unit Economics'!$D$52</f>
        <v>2378741.12209105</v>
      </c>
      <c r="X116" s="9" t="n">
        <f aca="false">-X101*'Unit Economics'!$D$52</f>
        <v>2512240.34633982</v>
      </c>
      <c r="Y116" s="9" t="n">
        <f aca="false">-Y101*'Unit Economics'!$D$52</f>
        <v>2650515.86266304</v>
      </c>
      <c r="Z116" s="9" t="n">
        <f aca="false">-Z101*'Unit Economics'!$D$52</f>
        <v>2794286.28224101</v>
      </c>
      <c r="AA116" s="9" t="n">
        <f aca="false">-AA101*'Unit Economics'!$D$52</f>
        <v>2944308.52420302</v>
      </c>
      <c r="AB116" s="64" t="n">
        <f aca="false">SUM(D116:O116)</f>
        <v>7901969.16571291</v>
      </c>
      <c r="AC116" s="64" t="n">
        <f aca="false">SUM(P116:AA116)</f>
        <v>26126544.5597517</v>
      </c>
      <c r="AD116" s="64" t="n">
        <f aca="false">SUM(C116:AA116)</f>
        <v>34028513.7254646</v>
      </c>
    </row>
    <row r="117" customFormat="false" ht="15" hidden="false" customHeight="false" outlineLevel="0" collapsed="false">
      <c r="A117" s="4" t="s">
        <v>702</v>
      </c>
      <c r="B117" s="2" t="s">
        <v>46</v>
      </c>
      <c r="D117" s="9" t="n">
        <f aca="false">-D101*'Unit Economics'!$D$53</f>
        <v>409374</v>
      </c>
      <c r="E117" s="9" t="n">
        <f aca="false">-E101*'Unit Economics'!$D$53</f>
        <v>586913.04</v>
      </c>
      <c r="F117" s="9" t="n">
        <f aca="false">-F101*'Unit Economics'!$D$53</f>
        <v>772863.6384</v>
      </c>
      <c r="G117" s="9" t="n">
        <f aca="false">-G101*'Unit Economics'!$D$53</f>
        <v>968130.382464</v>
      </c>
      <c r="H117" s="9" t="n">
        <f aca="false">-H101*'Unit Economics'!$D$53</f>
        <v>1173680.95993344</v>
      </c>
      <c r="I117" s="9" t="n">
        <f aca="false">-I101*'Unit Economics'!$D$53</f>
        <v>1390551.57772554</v>
      </c>
      <c r="J117" s="9" t="n">
        <f aca="false">-J101*'Unit Economics'!$D$53</f>
        <v>1619852.79930112</v>
      </c>
      <c r="K117" s="9" t="n">
        <f aca="false">-K101*'Unit Economics'!$D$53</f>
        <v>1862775.83478843</v>
      </c>
      <c r="L117" s="9" t="n">
        <f aca="false">-L101*'Unit Economics'!$D$53</f>
        <v>2120599.32065301</v>
      </c>
      <c r="M117" s="9" t="n">
        <f aca="false">-M101*'Unit Economics'!$D$53</f>
        <v>2394696.62862349</v>
      </c>
      <c r="N117" s="9" t="n">
        <f aca="false">-N101*'Unit Economics'!$D$53</f>
        <v>2686543.74673888</v>
      </c>
      <c r="O117" s="9" t="n">
        <f aca="false">-O101*'Unit Economics'!$D$53</f>
        <v>2997727.77879048</v>
      </c>
      <c r="P117" s="9" t="n">
        <f aca="false">-P101*'Unit Economics'!$D$53</f>
        <v>3329956.11211371</v>
      </c>
      <c r="Q117" s="9" t="n">
        <f aca="false">-Q101*'Unit Economics'!$D$53</f>
        <v>3685066.307662</v>
      </c>
      <c r="R117" s="9" t="n">
        <f aca="false">-R101*'Unit Economics'!$D$53</f>
        <v>4065036.77059098</v>
      </c>
      <c r="S117" s="9" t="n">
        <f aca="false">-S101*'Unit Economics'!$D$53</f>
        <v>4471998.26422164</v>
      </c>
      <c r="T117" s="9" t="n">
        <f aca="false">-T101*'Unit Economics'!$D$53</f>
        <v>4805307.21537163</v>
      </c>
      <c r="U117" s="9" t="n">
        <f aca="false">-U101*'Unit Economics'!$D$53</f>
        <v>5101178.14486855</v>
      </c>
      <c r="V117" s="9" t="n">
        <f aca="false">-V101*'Unit Economics'!$D$53</f>
        <v>5403805.346646</v>
      </c>
      <c r="W117" s="9" t="n">
        <f aca="false">-W101*'Unit Economics'!$D$53</f>
        <v>5714693.38640493</v>
      </c>
      <c r="X117" s="9" t="n">
        <f aca="false">-X101*'Unit Economics'!$D$53</f>
        <v>6035412.24345903</v>
      </c>
      <c r="Y117" s="9" t="n">
        <f aca="false">-Y101*'Unit Economics'!$D$53</f>
        <v>6367605.67606737</v>
      </c>
      <c r="Z117" s="9" t="n">
        <f aca="false">-Z101*'Unit Economics'!$D$53</f>
        <v>6713000.07745588</v>
      </c>
      <c r="AA117" s="9" t="n">
        <f aca="false">-AA101*'Unit Economics'!$D$53</f>
        <v>7073413.8719592</v>
      </c>
      <c r="AB117" s="64" t="n">
        <f aca="false">SUM(D117:O117)</f>
        <v>18983709.7074184</v>
      </c>
      <c r="AC117" s="64" t="n">
        <f aca="false">SUM(P117:AA117)</f>
        <v>62766473.4168209</v>
      </c>
      <c r="AD117" s="64" t="n">
        <f aca="false">SUM(C117:AA117)</f>
        <v>81750183.1242393</v>
      </c>
    </row>
    <row r="118" customFormat="false" ht="15" hidden="false" customHeight="false" outlineLevel="0" collapsed="false">
      <c r="A118" s="4" t="s">
        <v>703</v>
      </c>
      <c r="B118" s="2" t="s">
        <v>46</v>
      </c>
      <c r="D118" s="9" t="n">
        <f aca="false">-D101*'Unit Economics'!$D$54</f>
        <v>341145</v>
      </c>
      <c r="E118" s="9" t="n">
        <f aca="false">-E101*'Unit Economics'!$D$54</f>
        <v>489094.2</v>
      </c>
      <c r="F118" s="9" t="n">
        <f aca="false">-F101*'Unit Economics'!$D$54</f>
        <v>644053.032</v>
      </c>
      <c r="G118" s="9" t="n">
        <f aca="false">-G101*'Unit Economics'!$D$54</f>
        <v>806775.31872</v>
      </c>
      <c r="H118" s="9" t="n">
        <f aca="false">-H101*'Unit Economics'!$D$54</f>
        <v>978067.4666112</v>
      </c>
      <c r="I118" s="9" t="n">
        <f aca="false">-I101*'Unit Economics'!$D$54</f>
        <v>1158792.98143795</v>
      </c>
      <c r="J118" s="9" t="n">
        <f aca="false">-J101*'Unit Economics'!$D$54</f>
        <v>1349877.33275093</v>
      </c>
      <c r="K118" s="9" t="n">
        <f aca="false">-K101*'Unit Economics'!$D$54</f>
        <v>1552313.19565703</v>
      </c>
      <c r="L118" s="9" t="n">
        <f aca="false">-L101*'Unit Economics'!$D$54</f>
        <v>1767166.10054417</v>
      </c>
      <c r="M118" s="9" t="n">
        <f aca="false">-M101*'Unit Economics'!$D$54</f>
        <v>1995580.52385291</v>
      </c>
      <c r="N118" s="9" t="n">
        <f aca="false">-N101*'Unit Economics'!$D$54</f>
        <v>2238786.45561573</v>
      </c>
      <c r="O118" s="9" t="n">
        <f aca="false">-O101*'Unit Economics'!$D$54</f>
        <v>2498106.4823254</v>
      </c>
      <c r="P118" s="9" t="n">
        <f aca="false">-P101*'Unit Economics'!$D$54</f>
        <v>2774963.42676142</v>
      </c>
      <c r="Q118" s="9" t="n">
        <f aca="false">-Q101*'Unit Economics'!$D$54</f>
        <v>3070888.58971833</v>
      </c>
      <c r="R118" s="9" t="n">
        <f aca="false">-R101*'Unit Economics'!$D$54</f>
        <v>3387530.64215915</v>
      </c>
      <c r="S118" s="9" t="n">
        <f aca="false">-S101*'Unit Economics'!$D$54</f>
        <v>3726665.2201847</v>
      </c>
      <c r="T118" s="9" t="n">
        <f aca="false">-T101*'Unit Economics'!$D$54</f>
        <v>4004422.67947635</v>
      </c>
      <c r="U118" s="9" t="n">
        <f aca="false">-U101*'Unit Economics'!$D$54</f>
        <v>4250981.78739046</v>
      </c>
      <c r="V118" s="9" t="n">
        <f aca="false">-V101*'Unit Economics'!$D$54</f>
        <v>4503171.122205</v>
      </c>
      <c r="W118" s="9" t="n">
        <f aca="false">-W101*'Unit Economics'!$D$54</f>
        <v>4762244.48867078</v>
      </c>
      <c r="X118" s="9" t="n">
        <f aca="false">-X101*'Unit Economics'!$D$54</f>
        <v>5029510.20288252</v>
      </c>
      <c r="Y118" s="9" t="n">
        <f aca="false">-Y101*'Unit Economics'!$D$54</f>
        <v>5306338.06338948</v>
      </c>
      <c r="Z118" s="9" t="n">
        <f aca="false">-Z101*'Unit Economics'!$D$54</f>
        <v>5594166.73121323</v>
      </c>
      <c r="AA118" s="9" t="n">
        <f aca="false">-AA101*'Unit Economics'!$D$54</f>
        <v>5894511.559966</v>
      </c>
      <c r="AB118" s="64" t="n">
        <f aca="false">SUM(D118:O118)</f>
        <v>15819758.0895153</v>
      </c>
      <c r="AC118" s="64" t="n">
        <f aca="false">SUM(P118:AA118)</f>
        <v>52305394.5140174</v>
      </c>
      <c r="AD118" s="64" t="n">
        <f aca="false">SUM(C118:AA118)</f>
        <v>68125152.6035328</v>
      </c>
    </row>
    <row r="119" customFormat="false" ht="15" hidden="false" customHeight="false" outlineLevel="0" collapsed="false">
      <c r="A119" s="4" t="s">
        <v>704</v>
      </c>
      <c r="B119" s="2" t="s">
        <v>46</v>
      </c>
      <c r="D119" s="9" t="n">
        <f aca="false">-D101*'Unit Economics'!$D$55</f>
        <v>7641.648</v>
      </c>
      <c r="E119" s="9" t="n">
        <f aca="false">-E101*'Unit Economics'!$D$55</f>
        <v>10955.71008</v>
      </c>
      <c r="F119" s="9" t="n">
        <f aca="false">-F101*'Unit Economics'!$D$55</f>
        <v>14426.7879168</v>
      </c>
      <c r="G119" s="9" t="n">
        <f aca="false">-G101*'Unit Economics'!$D$55</f>
        <v>18071.767139328</v>
      </c>
      <c r="H119" s="9" t="n">
        <f aca="false">-H101*'Unit Economics'!$D$55</f>
        <v>21908.7112520909</v>
      </c>
      <c r="I119" s="9" t="n">
        <f aca="false">-I101*'Unit Economics'!$D$55</f>
        <v>25956.9627842101</v>
      </c>
      <c r="J119" s="9" t="n">
        <f aca="false">-J101*'Unit Economics'!$D$55</f>
        <v>30237.2522536208</v>
      </c>
      <c r="K119" s="9" t="n">
        <f aca="false">-K101*'Unit Economics'!$D$55</f>
        <v>34771.8155827174</v>
      </c>
      <c r="L119" s="9" t="n">
        <f aca="false">-L101*'Unit Economics'!$D$55</f>
        <v>39584.5206521895</v>
      </c>
      <c r="M119" s="9" t="n">
        <f aca="false">-M101*'Unit Economics'!$D$55</f>
        <v>44701.0037343051</v>
      </c>
      <c r="N119" s="9" t="n">
        <f aca="false">-N101*'Unit Economics'!$D$55</f>
        <v>50148.8166057924</v>
      </c>
      <c r="O119" s="9" t="n">
        <f aca="false">-O101*'Unit Economics'!$D$55</f>
        <v>55957.5852040889</v>
      </c>
      <c r="P119" s="9" t="n">
        <f aca="false">-P101*'Unit Economics'!$D$55</f>
        <v>62159.1807594559</v>
      </c>
      <c r="Q119" s="9" t="n">
        <f aca="false">-Q101*'Unit Economics'!$D$55</f>
        <v>68787.9044096906</v>
      </c>
      <c r="R119" s="9" t="n">
        <f aca="false">-R101*'Unit Economics'!$D$55</f>
        <v>75880.6863843649</v>
      </c>
      <c r="S119" s="9" t="n">
        <f aca="false">-S101*'Unit Economics'!$D$55</f>
        <v>83477.3009321373</v>
      </c>
      <c r="T119" s="9" t="n">
        <f aca="false">-T101*'Unit Economics'!$D$55</f>
        <v>89699.0680202703</v>
      </c>
      <c r="U119" s="9" t="n">
        <f aca="false">-U101*'Unit Economics'!$D$55</f>
        <v>95221.9920375463</v>
      </c>
      <c r="V119" s="9" t="n">
        <f aca="false">-V101*'Unit Economics'!$D$55</f>
        <v>100871.033137392</v>
      </c>
      <c r="W119" s="9" t="n">
        <f aca="false">-W101*'Unit Economics'!$D$55</f>
        <v>106674.276546225</v>
      </c>
      <c r="X119" s="9" t="n">
        <f aca="false">-X101*'Unit Economics'!$D$55</f>
        <v>112661.028544569</v>
      </c>
      <c r="Y119" s="9" t="n">
        <f aca="false">-Y101*'Unit Economics'!$D$55</f>
        <v>118861.972619924</v>
      </c>
      <c r="Z119" s="9" t="n">
        <f aca="false">-Z101*'Unit Economics'!$D$55</f>
        <v>125309.334779176</v>
      </c>
      <c r="AA119" s="9" t="n">
        <f aca="false">-AA101*'Unit Economics'!$D$55</f>
        <v>132037.058943238</v>
      </c>
      <c r="AB119" s="64" t="n">
        <f aca="false">SUM(D119:O119)</f>
        <v>354362.581205143</v>
      </c>
      <c r="AC119" s="64" t="n">
        <f aca="false">SUM(P119:AA119)</f>
        <v>1171640.83711399</v>
      </c>
      <c r="AD119" s="64" t="n">
        <f aca="false">SUM(C119:AA119)</f>
        <v>1526003.41831913</v>
      </c>
    </row>
    <row r="120" customFormat="false" ht="15" hidden="false" customHeight="false" outlineLevel="0" collapsed="false">
      <c r="A120" s="4" t="s">
        <v>705</v>
      </c>
      <c r="B120" s="2" t="s">
        <v>46</v>
      </c>
      <c r="D120" s="9" t="n">
        <f aca="false">D100*'Unit Economics'!$D$63</f>
        <v>74628.162</v>
      </c>
      <c r="E120" s="9" t="n">
        <f aca="false">E100*'Unit Economics'!$D$63</f>
        <v>106993.21752</v>
      </c>
      <c r="F120" s="9" t="n">
        <f aca="false">F100*'Unit Economics'!$D$63</f>
        <v>140891.6853792</v>
      </c>
      <c r="G120" s="9" t="n">
        <f aca="false">G100*'Unit Economics'!$D$63</f>
        <v>176488.470248832</v>
      </c>
      <c r="H120" s="9" t="n">
        <f aca="false">H100*'Unit Economics'!$D$63</f>
        <v>213959.979906463</v>
      </c>
      <c r="I120" s="9" t="n">
        <f aca="false">I100*'Unit Economics'!$D$63</f>
        <v>253495.113055195</v>
      </c>
      <c r="J120" s="9" t="n">
        <f aca="false">J100*'Unit Economics'!$D$63</f>
        <v>295296.323465577</v>
      </c>
      <c r="K120" s="9" t="n">
        <f aca="false">K100*'Unit Economics'!$D$63</f>
        <v>339580.766654151</v>
      </c>
      <c r="L120" s="9" t="n">
        <f aca="false">L100*'Unit Economics'!$D$63</f>
        <v>386581.535805358</v>
      </c>
      <c r="M120" s="9" t="n">
        <f aca="false">M100*'Unit Economics'!$D$63</f>
        <v>436548.994175907</v>
      </c>
      <c r="N120" s="9" t="n">
        <f aca="false">N100*'Unit Economics'!$D$63</f>
        <v>489752.211795854</v>
      </c>
      <c r="O120" s="9" t="n">
        <f aca="false">O100*'Unit Economics'!$D$63</f>
        <v>546480.514901963</v>
      </c>
      <c r="P120" s="9" t="n">
        <f aca="false">P100*'Unit Economics'!$D$63</f>
        <v>607045.157210062</v>
      </c>
      <c r="Q120" s="9" t="n">
        <f aca="false">Q100*'Unit Economics'!$D$63</f>
        <v>671781.122858172</v>
      </c>
      <c r="R120" s="9" t="n">
        <f aca="false">R100*'Unit Economics'!$D$63</f>
        <v>741049.071635278</v>
      </c>
      <c r="S120" s="9" t="n">
        <f aca="false">S100*'Unit Economics'!$D$63</f>
        <v>815237.437956615</v>
      </c>
      <c r="T120" s="9" t="n">
        <f aca="false">T100*'Unit Economics'!$D$63</f>
        <v>875999.074998711</v>
      </c>
      <c r="U120" s="9" t="n">
        <f aca="false">U100*'Unit Economics'!$D$63</f>
        <v>929935.826374195</v>
      </c>
      <c r="V120" s="9" t="n">
        <f aca="false">V100*'Unit Economics'!$D$63</f>
        <v>985104.234333309</v>
      </c>
      <c r="W120" s="9" t="n">
        <f aca="false">W100*'Unit Economics'!$D$63</f>
        <v>1041778.57856375</v>
      </c>
      <c r="X120" s="9" t="n">
        <f aca="false">X100*'Unit Economics'!$D$63</f>
        <v>1100245.06354005</v>
      </c>
      <c r="Y120" s="9" t="n">
        <f aca="false">Y100*'Unit Economics'!$D$63</f>
        <v>1160803.34350905</v>
      </c>
      <c r="Z120" s="9" t="n">
        <f aca="false">Z100*'Unit Economics'!$D$63</f>
        <v>1223768.13692709</v>
      </c>
      <c r="AA120" s="9" t="n">
        <f aca="false">AA100*'Unit Economics'!$D$63</f>
        <v>1289470.93936014</v>
      </c>
      <c r="AB120" s="64" t="n">
        <f aca="false">SUM(D120:O120)</f>
        <v>3460696.9749085</v>
      </c>
      <c r="AC120" s="64" t="n">
        <f aca="false">SUM(P120:AA120)</f>
        <v>11442217.9872664</v>
      </c>
      <c r="AD120" s="64" t="n">
        <f aca="false">SUM(C120:AA120)</f>
        <v>14902914.9621749</v>
      </c>
    </row>
    <row r="121" customFormat="false" ht="15" hidden="false" customHeight="false" outlineLevel="0" collapsed="false">
      <c r="A121" s="4" t="s">
        <v>706</v>
      </c>
      <c r="B121" s="2" t="s">
        <v>46</v>
      </c>
      <c r="C121" s="9" t="n">
        <f aca="false">C99*Asumsi!$E$71*Asumsi!$E$70*Asumsi!$E$12+C82*(Asumsi!$E$72+'Unit Economics'!$D$64)</f>
        <v>1090756.38</v>
      </c>
      <c r="D121" s="9" t="n">
        <f aca="false">D95*Asumsi!$E$71*Asumsi!$E$70*Asumsi!$E$12+D82*(Asumsi!$E$72+'Unit Economics'!$D$64)</f>
        <v>1033971.07674</v>
      </c>
      <c r="E121" s="9" t="n">
        <f aca="false">E95*Asumsi!$E$71*Asumsi!$E$70*Asumsi!$E$12+E82*(Asumsi!$E$72+'Unit Economics'!$D$64)</f>
        <v>1100456.93416747</v>
      </c>
      <c r="F121" s="9" t="n">
        <f aca="false">F95*Asumsi!$E$71*Asumsi!$E$70*Asumsi!$E$12+F82*(Asumsi!$E$72+'Unit Economics'!$D$64)</f>
        <v>1175107.53823413</v>
      </c>
      <c r="G121" s="9" t="n">
        <f aca="false">G95*Asumsi!$E$71*Asumsi!$E$70*Asumsi!$E$12+G82*(Asumsi!$E$72+'Unit Economics'!$D$64)</f>
        <v>2523066.0155278</v>
      </c>
      <c r="H121" s="9" t="n">
        <f aca="false">H95*Asumsi!$E$71*Asumsi!$E$70*Asumsi!$E$12+H82*(Asumsi!$E$72+'Unit Economics'!$D$64)</f>
        <v>2616625.20403534</v>
      </c>
      <c r="I121" s="9" t="n">
        <f aca="false">I95*Asumsi!$E$71*Asumsi!$E$70*Asumsi!$E$12+I82*(Asumsi!$E$72+'Unit Economics'!$D$64)</f>
        <v>2718817.01267355</v>
      </c>
      <c r="J121" s="9" t="n">
        <f aca="false">J95*Asumsi!$E$71*Asumsi!$E$70*Asumsi!$E$12+J82*(Asumsi!$E$72+'Unit Economics'!$D$64)</f>
        <v>2829784.93098071</v>
      </c>
      <c r="K121" s="9" t="n">
        <f aca="false">K95*Asumsi!$E$71*Asumsi!$E$70*Asumsi!$E$12+K82*(Asumsi!$E$72+'Unit Economics'!$D$64)</f>
        <v>2949777.289688</v>
      </c>
      <c r="L121" s="9" t="n">
        <f aca="false">L95*Asumsi!$E$71*Asumsi!$E$70*Asumsi!$E$12+L82*(Asumsi!$E$72+'Unit Economics'!$D$64)</f>
        <v>3079149.25053043</v>
      </c>
      <c r="M121" s="9" t="n">
        <f aca="false">M95*Asumsi!$E$71*Asumsi!$E$70*Asumsi!$E$12+M82*(Asumsi!$E$72+'Unit Economics'!$D$64)</f>
        <v>3218361.2238267</v>
      </c>
      <c r="N121" s="9" t="n">
        <f aca="false">N95*Asumsi!$E$71*Asumsi!$E$70*Asumsi!$E$12+N82*(Asumsi!$E$72+'Unit Economics'!$D$64)</f>
        <v>3367975.98473218</v>
      </c>
      <c r="O121" s="9" t="n">
        <f aca="false">O95*Asumsi!$E$71*Asumsi!$E$70*Asumsi!$E$12+O82*(Asumsi!$E$72+'Unit Economics'!$D$64)</f>
        <v>3528655.89512844</v>
      </c>
      <c r="P121" s="9" t="n">
        <f aca="false">P95*Asumsi!$E$71*Asumsi!$E$70*Asumsi!$E$12+P82*(Asumsi!$E$72+'Unit Economics'!$D$64)</f>
        <v>4333846.0945495</v>
      </c>
      <c r="Q121" s="9" t="n">
        <f aca="false">Q95*Asumsi!$E$71*Asumsi!$E$70*Asumsi!$E$12+Q82*(Asumsi!$E$72+'Unit Economics'!$D$64)</f>
        <v>4523088.70068835</v>
      </c>
      <c r="R121" s="9" t="n">
        <f aca="false">R95*Asumsi!$E$71*Asumsi!$E$70*Asumsi!$E$12+R82*(Asumsi!$E$72+'Unit Economics'!$D$64)</f>
        <v>4725813.93584256</v>
      </c>
      <c r="S121" s="9" t="n">
        <f aca="false">S95*Asumsi!$E$71*Asumsi!$E$70*Asumsi!$E$12+S82*(Asumsi!$E$72+'Unit Economics'!$D$64)</f>
        <v>4943084.71702067</v>
      </c>
      <c r="T121" s="9" t="n">
        <f aca="false">T95*Asumsi!$E$71*Asumsi!$E$70*Asumsi!$E$12+T82*(Asumsi!$E$72+'Unit Economics'!$D$64)</f>
        <v>5176065.52440128</v>
      </c>
      <c r="U121" s="9" t="n">
        <f aca="false">U95*Asumsi!$E$71*Asumsi!$E$70*Asumsi!$E$12+U82*(Asumsi!$E$72+'Unit Economics'!$D$64)</f>
        <v>5423856.24436203</v>
      </c>
      <c r="V121" s="9" t="n">
        <f aca="false">V95*Asumsi!$E$71*Asumsi!$E$70*Asumsi!$E$12+V82*(Asumsi!$E$72+'Unit Economics'!$D$64)</f>
        <v>5686776.86334355</v>
      </c>
      <c r="W121" s="9" t="n">
        <f aca="false">W95*Asumsi!$E$71*Asumsi!$E$70*Asumsi!$E$12+W82*(Asumsi!$E$72+'Unit Economics'!$D$64)</f>
        <v>5966305.29470633</v>
      </c>
      <c r="X121" s="9" t="n">
        <f aca="false">X95*Asumsi!$E$71*Asumsi!$E$70*Asumsi!$E$12+X82*(Asumsi!$E$72+'Unit Economics'!$D$64)</f>
        <v>6264022.4361577</v>
      </c>
      <c r="Y121" s="9" t="n">
        <f aca="false">Y95*Asumsi!$E$71*Asumsi!$E$70*Asumsi!$E$12+Y82*(Asumsi!$E$72+'Unit Economics'!$D$64)</f>
        <v>6581621.27767672</v>
      </c>
      <c r="Z121" s="9" t="n">
        <f aca="false">Z95*Asumsi!$E$71*Asumsi!$E$70*Asumsi!$E$12+Z82*(Asumsi!$E$72+'Unit Economics'!$D$64)</f>
        <v>6920916.68852995</v>
      </c>
      <c r="AA121" s="9" t="n">
        <f aca="false">AA95*Asumsi!$E$71*Asumsi!$E$70*Asumsi!$E$12+AA82*(Asumsi!$E$72+'Unit Economics'!$D$64)</f>
        <v>7283855.94052941</v>
      </c>
      <c r="AB121" s="64" t="n">
        <f aca="false">SUM(D121:O121)</f>
        <v>30141748.3562647</v>
      </c>
      <c r="AC121" s="64" t="n">
        <f aca="false">SUM(P121:AA121)</f>
        <v>67829253.717808</v>
      </c>
      <c r="AD121" s="64" t="n">
        <f aca="false">SUM(C121:AA121)</f>
        <v>99061758.4540728</v>
      </c>
    </row>
    <row r="122" customFormat="false" ht="15" hidden="false" customHeight="false" outlineLevel="0" collapsed="false">
      <c r="A122" s="25" t="s">
        <v>707</v>
      </c>
      <c r="B122" s="2" t="s">
        <v>46</v>
      </c>
      <c r="C122" s="64" t="n">
        <f aca="false">SUM(C115:C121)</f>
        <v>1090756.38</v>
      </c>
      <c r="D122" s="64" t="n">
        <f aca="false">SUM(D115:D121)</f>
        <v>2590952.72709</v>
      </c>
      <c r="E122" s="64" t="n">
        <f aca="false">SUM(E115:E121)</f>
        <v>3332676.94235347</v>
      </c>
      <c r="F122" s="64" t="n">
        <f aca="false">SUM(F115:F121)</f>
        <v>4114557.77985069</v>
      </c>
      <c r="G122" s="64" t="n">
        <f aca="false">SUM(G115:G121)</f>
        <v>6205178.80393834</v>
      </c>
      <c r="H122" s="64" t="n">
        <f aca="false">SUM(H115:H121)</f>
        <v>7080513.28188478</v>
      </c>
      <c r="I122" s="64" t="n">
        <f aca="false">SUM(I115:I121)</f>
        <v>8007534.15246238</v>
      </c>
      <c r="J122" s="64" t="n">
        <f aca="false">SUM(J115:J121)</f>
        <v>8990608.7370356</v>
      </c>
      <c r="K122" s="64" t="n">
        <f aca="false">SUM(K115:K121)</f>
        <v>10034515.9235069</v>
      </c>
      <c r="L122" s="64" t="n">
        <f aca="false">SUM(L115:L121)</f>
        <v>11144473.9414033</v>
      </c>
      <c r="M122" s="64" t="n">
        <f aca="false">SUM(M115:M121)</f>
        <v>12326166.577664</v>
      </c>
      <c r="N122" s="64" t="n">
        <f aca="false">SUM(N115:N121)</f>
        <v>13585770.2670632</v>
      </c>
      <c r="O122" s="64" t="n">
        <f aca="false">SUM(O115:O121)</f>
        <v>14929983.6402252</v>
      </c>
      <c r="P122" s="64" t="n">
        <f aca="false">SUM(P115:P121)</f>
        <v>16998745.5826261</v>
      </c>
      <c r="Q122" s="64" t="n">
        <f aca="false">SUM(Q115:Q121)</f>
        <v>18538587.0502483</v>
      </c>
      <c r="R122" s="64" t="n">
        <f aca="false">SUM(R115:R121)</f>
        <v>20186462.779707</v>
      </c>
      <c r="S122" s="64" t="n">
        <f aca="false">SUM(S115:S121)</f>
        <v>21951539.6696804</v>
      </c>
      <c r="T122" s="64" t="n">
        <f aca="false">SUM(T115:T121)</f>
        <v>23452202.158941</v>
      </c>
      <c r="U122" s="64" t="n">
        <f aca="false">SUM(U115:U121)</f>
        <v>24825285.6627589</v>
      </c>
      <c r="V122" s="64" t="n">
        <f aca="false">SUM(V115:V121)</f>
        <v>26239195.3530157</v>
      </c>
      <c r="W122" s="64" t="n">
        <f aca="false">SUM(W115:W121)</f>
        <v>27701131.492777</v>
      </c>
      <c r="X122" s="64" t="n">
        <f aca="false">SUM(X115:X121)</f>
        <v>29218646.118569</v>
      </c>
      <c r="Y122" s="64" t="n">
        <f aca="false">SUM(Y115:Y121)</f>
        <v>30799683.9643676</v>
      </c>
      <c r="Z122" s="64" t="n">
        <f aca="false">SUM(Z115:Z121)</f>
        <v>32452625.9309267</v>
      </c>
      <c r="AA122" s="64" t="n">
        <f aca="false">SUM(AA115:AA121)</f>
        <v>34186335.3456006</v>
      </c>
      <c r="AB122" s="64" t="n">
        <f aca="false">SUM(D122:O122)</f>
        <v>102342932.774478</v>
      </c>
      <c r="AC122" s="64" t="n">
        <f aca="false">SUM(P122:AA122)</f>
        <v>306550441.109218</v>
      </c>
      <c r="AD122" s="64" t="n">
        <f aca="false">SUM(C122:AA122)</f>
        <v>409984130.263696</v>
      </c>
    </row>
    <row r="123" customFormat="false" ht="15" hidden="false" customHeight="false" outlineLevel="0" collapsed="false">
      <c r="A123" s="25" t="s">
        <v>708</v>
      </c>
      <c r="B123" s="2" t="s">
        <v>46</v>
      </c>
      <c r="C123" s="64" t="n">
        <f aca="false">C110-C122</f>
        <v>-1090756.38</v>
      </c>
      <c r="D123" s="64" t="n">
        <f aca="false">D110-D122</f>
        <v>1336870.77291</v>
      </c>
      <c r="E123" s="64" t="n">
        <f aca="false">E110-E122</f>
        <v>2318070.35285953</v>
      </c>
      <c r="F123" s="64" t="n">
        <f aca="false">F110-F122</f>
        <v>3335273.82667459</v>
      </c>
      <c r="G123" s="64" t="n">
        <f aca="false">G110-G122</f>
        <v>3129729.36232632</v>
      </c>
      <c r="H123" s="64" t="n">
        <f aca="false">H110-H122</f>
        <v>4230549.86282438</v>
      </c>
      <c r="I123" s="64" t="n">
        <f aca="false">I110-I122</f>
        <v>5385485.2887855</v>
      </c>
      <c r="J123" s="64" t="n">
        <f aca="false">J110-J122</f>
        <v>7681457.72964534</v>
      </c>
      <c r="K123" s="64" t="n">
        <f aca="false">K110-K122</f>
        <v>9127896.24289446</v>
      </c>
      <c r="L123" s="64" t="n">
        <f aca="false">L110-L122</f>
        <v>10660275.7161668</v>
      </c>
      <c r="M123" s="64" t="n">
        <f aca="false">M110-M122</f>
        <v>12287456.9428002</v>
      </c>
      <c r="N123" s="64" t="n">
        <f aca="false">N110-N122</f>
        <v>14018786.7172352</v>
      </c>
      <c r="O123" s="64" t="n">
        <f aca="false">O110-O122</f>
        <v>15864167.8266091</v>
      </c>
      <c r="P123" s="64" t="n">
        <f aca="false">P110-P122</f>
        <v>17201446.568222</v>
      </c>
      <c r="Q123" s="64" t="n">
        <f aca="false">Q110-Q122</f>
        <v>19296442.3959191</v>
      </c>
      <c r="R123" s="64" t="n">
        <f aca="false">R110-R122</f>
        <v>21539680.7688652</v>
      </c>
      <c r="S123" s="64" t="n">
        <f aca="false">S110-S122</f>
        <v>23944013.3677373</v>
      </c>
      <c r="T123" s="64" t="n">
        <f aca="false">T110-T122</f>
        <v>25833888.0122294</v>
      </c>
      <c r="U123" s="64" t="n">
        <f aca="false">U110-U122</f>
        <v>27455859.7060509</v>
      </c>
      <c r="V123" s="64" t="n">
        <f aca="false">V110-V122</f>
        <v>29106807.9741596</v>
      </c>
      <c r="W123" s="64" t="n">
        <f aca="false">W110-W122</f>
        <v>30794795.468688</v>
      </c>
      <c r="X123" s="64" t="n">
        <f aca="false">X110-X122</f>
        <v>32528202.4159464</v>
      </c>
      <c r="Y123" s="64" t="n">
        <f aca="false">Y110-Y122</f>
        <v>34315770.6863225</v>
      </c>
      <c r="Z123" s="64" t="n">
        <f aca="false">Z110-Z122</f>
        <v>36166650.3259276</v>
      </c>
      <c r="AA123" s="64" t="n">
        <f aca="false">AA110-AA122</f>
        <v>38090448.8075668</v>
      </c>
      <c r="AB123" s="64" t="n">
        <f aca="false">SUM(D123:O123)</f>
        <v>89376020.6417314</v>
      </c>
      <c r="AC123" s="64" t="n">
        <f aca="false">SUM(P123:AA123)</f>
        <v>336274006.497635</v>
      </c>
      <c r="AD123" s="64" t="n">
        <f aca="false">SUM(C123:AA123)</f>
        <v>424559270.759366</v>
      </c>
    </row>
    <row r="124" customFormat="false" ht="15" hidden="false" customHeight="false" outlineLevel="0" collapsed="false">
      <c r="A124" s="4" t="s">
        <v>565</v>
      </c>
      <c r="B124" s="2" t="s">
        <v>698</v>
      </c>
      <c r="D124" s="36" t="n">
        <f aca="false">IF(D101&gt;0,D123/D101,0)</f>
        <v>39187.7580767709</v>
      </c>
      <c r="E124" s="36" t="n">
        <f aca="false">IF(E101&gt;0,E123/E101,0)</f>
        <v>47395.1715816612</v>
      </c>
      <c r="F124" s="36" t="n">
        <f aca="false">IF(F101&gt;0,F123/F101,0)</f>
        <v>51785.7018127443</v>
      </c>
      <c r="G124" s="36" t="n">
        <f aca="false">IF(G101&gt;0,G123/G101,0)</f>
        <v>38793.072739159</v>
      </c>
      <c r="H124" s="36" t="n">
        <f aca="false">IF(H101&gt;0,H123/H101,0)</f>
        <v>43254.1722043199</v>
      </c>
      <c r="I124" s="36" t="n">
        <f aca="false">IF(I101&gt;0,I123/I101,0)</f>
        <v>46474.9560538641</v>
      </c>
      <c r="J124" s="36" t="n">
        <f aca="false">IF(J101&gt;0,J123/J101,0)</f>
        <v>56904.8575250257</v>
      </c>
      <c r="K124" s="36" t="n">
        <f aca="false">IF(K101&gt;0,K123/K101,0)</f>
        <v>58801.8981506564</v>
      </c>
      <c r="L124" s="36" t="n">
        <f aca="false">IF(L101&gt;0,L123/L101,0)</f>
        <v>60324.1297628114</v>
      </c>
      <c r="M124" s="36" t="n">
        <f aca="false">IF(M101&gt;0,M123/M101,0)</f>
        <v>61573.3456802664</v>
      </c>
      <c r="N124" s="36" t="n">
        <f aca="false">IF(N101&gt;0,N123/N101,0)</f>
        <v>62617.7931444542</v>
      </c>
      <c r="O124" s="36" t="n">
        <f aca="false">IF(O101&gt;0,O123/O101,0)</f>
        <v>63504.7702684061</v>
      </c>
      <c r="P124" s="36" t="n">
        <f aca="false">IF(P101&gt;0,P123/P101,0)</f>
        <v>61988.0118142578</v>
      </c>
      <c r="Q124" s="36" t="n">
        <f aca="false">IF(Q101&gt;0,Q123/Q101,0)</f>
        <v>62836.6735951468</v>
      </c>
      <c r="R124" s="36" t="n">
        <f aca="false">IF(R101&gt;0,R123/R101,0)</f>
        <v>63585.1983176047</v>
      </c>
      <c r="S124" s="36" t="n">
        <f aca="false">IF(S101&gt;0,S123/S101,0)</f>
        <v>64250.5080361111</v>
      </c>
      <c r="T124" s="36" t="n">
        <f aca="false">IF(T101&gt;0,T123/T101,0)</f>
        <v>64513.389519629</v>
      </c>
      <c r="U124" s="36" t="n">
        <f aca="false">IF(U101&gt;0,U123/U101,0)</f>
        <v>64587.1026488334</v>
      </c>
      <c r="V124" s="36" t="n">
        <f aca="false">IF(V101&gt;0,V123/V101,0)</f>
        <v>64636.2467342954</v>
      </c>
      <c r="W124" s="36" t="n">
        <f aca="false">IF(W101&gt;0,W123/W101,0)</f>
        <v>64664.4571523949</v>
      </c>
      <c r="X124" s="36" t="n">
        <f aca="false">IF(X101&gt;0,X123/X101,0)</f>
        <v>64674.6921744065</v>
      </c>
      <c r="Y124" s="36" t="n">
        <f aca="false">IF(Y101&gt;0,Y123/Y101,0)</f>
        <v>64669.4015277326</v>
      </c>
      <c r="Z124" s="36" t="n">
        <f aca="false">IF(Z101&gt;0,Z123/Z101,0)</f>
        <v>64650.6478330937</v>
      </c>
      <c r="AA124" s="36" t="n">
        <f aca="false">IF(AA101&gt;0,AA123/AA101,0)</f>
        <v>64620.1952783795</v>
      </c>
      <c r="AB124" s="64" t="n">
        <f aca="false">IF(AB101&gt;0,AB123/AB101,0)</f>
        <v>56496.452180875</v>
      </c>
      <c r="AC124" s="64" t="n">
        <f aca="false">IF(AC101&gt;0,AC123/AC101,0)</f>
        <v>64290.5018922123</v>
      </c>
      <c r="AD124" s="64" t="n">
        <f aca="false">IF(AD101&gt;0,AD123/AD101,0)</f>
        <v>62320.4872993341</v>
      </c>
    </row>
    <row r="125" customFormat="false" ht="15" hidden="false" customHeight="false" outlineLevel="0" collapsed="false">
      <c r="A125" s="7" t="s">
        <v>709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customFormat="false" ht="15" hidden="false" customHeight="false" outlineLevel="0" collapsed="false">
      <c r="A126" s="4" t="s">
        <v>710</v>
      </c>
      <c r="B126" s="2" t="s">
        <v>46</v>
      </c>
      <c r="D126" s="36" t="n">
        <f aca="false">D88</f>
        <v>5000000</v>
      </c>
      <c r="E126" s="36" t="n">
        <f aca="false">E88</f>
        <v>5000000</v>
      </c>
      <c r="F126" s="36" t="n">
        <f aca="false">F88</f>
        <v>5000000</v>
      </c>
      <c r="G126" s="36" t="n">
        <f aca="false">G88</f>
        <v>25000000</v>
      </c>
      <c r="H126" s="36" t="n">
        <f aca="false">H88</f>
        <v>25000000</v>
      </c>
      <c r="I126" s="36" t="n">
        <f aca="false">I88</f>
        <v>25000000</v>
      </c>
      <c r="J126" s="36" t="n">
        <f aca="false">J88</f>
        <v>25000000</v>
      </c>
      <c r="K126" s="36" t="n">
        <f aca="false">K88</f>
        <v>25000000</v>
      </c>
      <c r="L126" s="36" t="n">
        <f aca="false">L88</f>
        <v>25000000</v>
      </c>
      <c r="M126" s="36" t="n">
        <f aca="false">M88</f>
        <v>25000000</v>
      </c>
      <c r="N126" s="36" t="n">
        <f aca="false">N88</f>
        <v>25000000</v>
      </c>
      <c r="O126" s="36" t="n">
        <f aca="false">O88</f>
        <v>25000000</v>
      </c>
      <c r="P126" s="36" t="n">
        <f aca="false">P88</f>
        <v>35000000</v>
      </c>
      <c r="Q126" s="36" t="n">
        <f aca="false">Q88</f>
        <v>35000000</v>
      </c>
      <c r="R126" s="36" t="n">
        <f aca="false">R88</f>
        <v>35000000</v>
      </c>
      <c r="S126" s="36" t="n">
        <f aca="false">S88</f>
        <v>35000000</v>
      </c>
      <c r="T126" s="36" t="n">
        <f aca="false">T88</f>
        <v>35000000</v>
      </c>
      <c r="U126" s="36" t="n">
        <f aca="false">U88</f>
        <v>35000000</v>
      </c>
      <c r="V126" s="36" t="n">
        <f aca="false">V88</f>
        <v>35000000</v>
      </c>
      <c r="W126" s="36" t="n">
        <f aca="false">W88</f>
        <v>35000000</v>
      </c>
      <c r="X126" s="36" t="n">
        <f aca="false">X88</f>
        <v>35000000</v>
      </c>
      <c r="Y126" s="36" t="n">
        <f aca="false">Y88</f>
        <v>35000000</v>
      </c>
      <c r="Z126" s="36" t="n">
        <f aca="false">Z88</f>
        <v>35000000</v>
      </c>
      <c r="AA126" s="36" t="n">
        <f aca="false">AA88</f>
        <v>35000000</v>
      </c>
      <c r="AB126" s="64" t="n">
        <f aca="false">SUM(D126:O126)</f>
        <v>240000000</v>
      </c>
      <c r="AC126" s="64" t="n">
        <f aca="false">SUM(P126:AA126)</f>
        <v>420000000</v>
      </c>
      <c r="AD126" s="64" t="n">
        <f aca="false">SUM(C126:AA126)</f>
        <v>660000000</v>
      </c>
    </row>
    <row r="127" customFormat="false" ht="15" hidden="false" customHeight="false" outlineLevel="0" collapsed="false">
      <c r="A127" s="4" t="s">
        <v>711</v>
      </c>
      <c r="B127" s="2" t="s">
        <v>46</v>
      </c>
      <c r="C127" s="9" t="n">
        <f aca="false">Asumsi!$E$114*(1+Asumsi!$E$116)*Asumsi!$E$11</f>
        <v>216000000</v>
      </c>
      <c r="D127" s="9" t="n">
        <f aca="false">IF(D$5&lt;=12,Asumsi!$E$114,Asumsi!$E$115)*(1+Asumsi!$E$116)</f>
        <v>72000000</v>
      </c>
      <c r="E127" s="9" t="n">
        <f aca="false">IF(E$5&lt;=12,Asumsi!$E$114,Asumsi!$E$115)*(1+Asumsi!$E$116)</f>
        <v>72000000</v>
      </c>
      <c r="F127" s="9" t="n">
        <f aca="false">IF(F$5&lt;=12,Asumsi!$E$114,Asumsi!$E$115)*(1+Asumsi!$E$116)</f>
        <v>72000000</v>
      </c>
      <c r="G127" s="9" t="n">
        <f aca="false">IF(G$5&lt;=12,Asumsi!$E$114,Asumsi!$E$115)*(1+Asumsi!$E$116)</f>
        <v>72000000</v>
      </c>
      <c r="H127" s="9" t="n">
        <f aca="false">IF(H$5&lt;=12,Asumsi!$E$114,Asumsi!$E$115)*(1+Asumsi!$E$116)</f>
        <v>72000000</v>
      </c>
      <c r="I127" s="9" t="n">
        <f aca="false">IF(I$5&lt;=12,Asumsi!$E$114,Asumsi!$E$115)*(1+Asumsi!$E$116)</f>
        <v>72000000</v>
      </c>
      <c r="J127" s="9" t="n">
        <f aca="false">IF(J$5&lt;=12,Asumsi!$E$114,Asumsi!$E$115)*(1+Asumsi!$E$116)</f>
        <v>72000000</v>
      </c>
      <c r="K127" s="9" t="n">
        <f aca="false">IF(K$5&lt;=12,Asumsi!$E$114,Asumsi!$E$115)*(1+Asumsi!$E$116)</f>
        <v>72000000</v>
      </c>
      <c r="L127" s="9" t="n">
        <f aca="false">IF(L$5&lt;=12,Asumsi!$E$114,Asumsi!$E$115)*(1+Asumsi!$E$116)</f>
        <v>72000000</v>
      </c>
      <c r="M127" s="9" t="n">
        <f aca="false">IF(M$5&lt;=12,Asumsi!$E$114,Asumsi!$E$115)*(1+Asumsi!$E$116)</f>
        <v>72000000</v>
      </c>
      <c r="N127" s="9" t="n">
        <f aca="false">IF(N$5&lt;=12,Asumsi!$E$114,Asumsi!$E$115)*(1+Asumsi!$E$116)</f>
        <v>72000000</v>
      </c>
      <c r="O127" s="9" t="n">
        <f aca="false">IF(O$5&lt;=12,Asumsi!$E$114,Asumsi!$E$115)*(1+Asumsi!$E$116)</f>
        <v>72000000</v>
      </c>
      <c r="P127" s="9" t="n">
        <f aca="false">IF(P$5&lt;=12,Asumsi!$E$114,Asumsi!$E$115)*(1+Asumsi!$E$116)</f>
        <v>102000000</v>
      </c>
      <c r="Q127" s="9" t="n">
        <f aca="false">IF(Q$5&lt;=12,Asumsi!$E$114,Asumsi!$E$115)*(1+Asumsi!$E$116)</f>
        <v>102000000</v>
      </c>
      <c r="R127" s="9" t="n">
        <f aca="false">IF(R$5&lt;=12,Asumsi!$E$114,Asumsi!$E$115)*(1+Asumsi!$E$116)</f>
        <v>102000000</v>
      </c>
      <c r="S127" s="9" t="n">
        <f aca="false">IF(S$5&lt;=12,Asumsi!$E$114,Asumsi!$E$115)*(1+Asumsi!$E$116)</f>
        <v>102000000</v>
      </c>
      <c r="T127" s="9" t="n">
        <f aca="false">IF(T$5&lt;=12,Asumsi!$E$114,Asumsi!$E$115)*(1+Asumsi!$E$116)</f>
        <v>102000000</v>
      </c>
      <c r="U127" s="9" t="n">
        <f aca="false">IF(U$5&lt;=12,Asumsi!$E$114,Asumsi!$E$115)*(1+Asumsi!$E$116)</f>
        <v>102000000</v>
      </c>
      <c r="V127" s="9" t="n">
        <f aca="false">IF(V$5&lt;=12,Asumsi!$E$114,Asumsi!$E$115)*(1+Asumsi!$E$116)</f>
        <v>102000000</v>
      </c>
      <c r="W127" s="9" t="n">
        <f aca="false">IF(W$5&lt;=12,Asumsi!$E$114,Asumsi!$E$115)*(1+Asumsi!$E$116)</f>
        <v>102000000</v>
      </c>
      <c r="X127" s="9" t="n">
        <f aca="false">IF(X$5&lt;=12,Asumsi!$E$114,Asumsi!$E$115)*(1+Asumsi!$E$116)</f>
        <v>102000000</v>
      </c>
      <c r="Y127" s="9" t="n">
        <f aca="false">IF(Y$5&lt;=12,Asumsi!$E$114,Asumsi!$E$115)*(1+Asumsi!$E$116)</f>
        <v>102000000</v>
      </c>
      <c r="Z127" s="9" t="n">
        <f aca="false">IF(Z$5&lt;=12,Asumsi!$E$114,Asumsi!$E$115)*(1+Asumsi!$E$116)</f>
        <v>102000000</v>
      </c>
      <c r="AA127" s="9" t="n">
        <f aca="false">IF(AA$5&lt;=12,Asumsi!$E$114,Asumsi!$E$115)*(1+Asumsi!$E$116)</f>
        <v>102000000</v>
      </c>
      <c r="AB127" s="64" t="n">
        <f aca="false">SUM(D127:O127)</f>
        <v>864000000</v>
      </c>
      <c r="AC127" s="64" t="n">
        <f aca="false">SUM(P127:AA127)</f>
        <v>1224000000</v>
      </c>
      <c r="AD127" s="64" t="n">
        <f aca="false">SUM(C127:AA127)</f>
        <v>2304000000</v>
      </c>
    </row>
    <row r="128" customFormat="false" ht="15" hidden="false" customHeight="false" outlineLevel="0" collapsed="false">
      <c r="A128" s="4" t="s">
        <v>712</v>
      </c>
      <c r="B128" s="2" t="s">
        <v>46</v>
      </c>
      <c r="C128" s="9" t="n">
        <f aca="false">(Asumsi!$E$108*Asumsi!$E$12+Asumsi!$E$113)*Asumsi!$E$11</f>
        <v>7612530</v>
      </c>
      <c r="D128" s="9" t="n">
        <f aca="false">(Asumsi!$E$108+IF(D101&gt;=Asumsi!$E$110,Asumsi!$E$109,0)+IF(D101&gt;=Asumsi!$E$112,Asumsi!$E$111,0))*Asumsi!$E$12+Asumsi!$E$113</f>
        <v>2537510</v>
      </c>
      <c r="E128" s="9" t="n">
        <f aca="false">(Asumsi!$E$108+IF(E101&gt;=Asumsi!$E$110,Asumsi!$E$109,0)+IF(E101&gt;=Asumsi!$E$112,Asumsi!$E$111,0))*Asumsi!$E$12+Asumsi!$E$113</f>
        <v>2537510</v>
      </c>
      <c r="F128" s="9" t="n">
        <f aca="false">(Asumsi!$E$108+IF(F101&gt;=Asumsi!$E$110,Asumsi!$E$109,0)+IF(F101&gt;=Asumsi!$E$112,Asumsi!$E$111,0))*Asumsi!$E$12+Asumsi!$E$113</f>
        <v>2537510</v>
      </c>
      <c r="G128" s="9" t="n">
        <f aca="false">(Asumsi!$E$108+IF(G101&gt;=Asumsi!$E$110,Asumsi!$E$109,0)+IF(G101&gt;=Asumsi!$E$112,Asumsi!$E$111,0))*Asumsi!$E$12+Asumsi!$E$113</f>
        <v>2537510</v>
      </c>
      <c r="H128" s="9" t="n">
        <f aca="false">(Asumsi!$E$108+IF(H101&gt;=Asumsi!$E$110,Asumsi!$E$109,0)+IF(H101&gt;=Asumsi!$E$112,Asumsi!$E$111,0))*Asumsi!$E$12+Asumsi!$E$113</f>
        <v>2537510</v>
      </c>
      <c r="I128" s="9" t="n">
        <f aca="false">(Asumsi!$E$108+IF(I101&gt;=Asumsi!$E$110,Asumsi!$E$109,0)+IF(I101&gt;=Asumsi!$E$112,Asumsi!$E$111,0))*Asumsi!$E$12+Asumsi!$E$113</f>
        <v>2537510</v>
      </c>
      <c r="J128" s="9" t="n">
        <f aca="false">(Asumsi!$E$108+IF(J101&gt;=Asumsi!$E$110,Asumsi!$E$109,0)+IF(J101&gt;=Asumsi!$E$112,Asumsi!$E$111,0))*Asumsi!$E$12+Asumsi!$E$113</f>
        <v>2537510</v>
      </c>
      <c r="K128" s="9" t="n">
        <f aca="false">(Asumsi!$E$108+IF(K101&gt;=Asumsi!$E$110,Asumsi!$E$109,0)+IF(K101&gt;=Asumsi!$E$112,Asumsi!$E$111,0))*Asumsi!$E$12+Asumsi!$E$113</f>
        <v>2537510</v>
      </c>
      <c r="L128" s="9" t="n">
        <f aca="false">(Asumsi!$E$108+IF(L101&gt;=Asumsi!$E$110,Asumsi!$E$109,0)+IF(L101&gt;=Asumsi!$E$112,Asumsi!$E$111,0))*Asumsi!$E$12+Asumsi!$E$113</f>
        <v>2537510</v>
      </c>
      <c r="M128" s="9" t="n">
        <f aca="false">(Asumsi!$E$108+IF(M101&gt;=Asumsi!$E$110,Asumsi!$E$109,0)+IF(M101&gt;=Asumsi!$E$112,Asumsi!$E$111,0))*Asumsi!$E$12+Asumsi!$E$113</f>
        <v>2537510</v>
      </c>
      <c r="N128" s="9" t="n">
        <f aca="false">(Asumsi!$E$108+IF(N101&gt;=Asumsi!$E$110,Asumsi!$E$109,0)+IF(N101&gt;=Asumsi!$E$112,Asumsi!$E$111,0))*Asumsi!$E$12+Asumsi!$E$113</f>
        <v>2537510</v>
      </c>
      <c r="O128" s="9" t="n">
        <f aca="false">(Asumsi!$E$108+IF(O101&gt;=Asumsi!$E$110,Asumsi!$E$109,0)+IF(O101&gt;=Asumsi!$E$112,Asumsi!$E$111,0))*Asumsi!$E$12+Asumsi!$E$113</f>
        <v>2537510</v>
      </c>
      <c r="P128" s="9" t="n">
        <f aca="false">(Asumsi!$E$108+IF(P101&gt;=Asumsi!$E$110,Asumsi!$E$109,0)+IF(P101&gt;=Asumsi!$E$112,Asumsi!$E$111,0))*Asumsi!$E$12+Asumsi!$E$113</f>
        <v>2537510</v>
      </c>
      <c r="Q128" s="9" t="n">
        <f aca="false">(Asumsi!$E$108+IF(Q101&gt;=Asumsi!$E$110,Asumsi!$E$109,0)+IF(Q101&gt;=Asumsi!$E$112,Asumsi!$E$111,0))*Asumsi!$E$12+Asumsi!$E$113</f>
        <v>2537510</v>
      </c>
      <c r="R128" s="9" t="n">
        <f aca="false">(Asumsi!$E$108+IF(R101&gt;=Asumsi!$E$110,Asumsi!$E$109,0)+IF(R101&gt;=Asumsi!$E$112,Asumsi!$E$111,0))*Asumsi!$E$12+Asumsi!$E$113</f>
        <v>2537510</v>
      </c>
      <c r="S128" s="9" t="n">
        <f aca="false">(Asumsi!$E$108+IF(S101&gt;=Asumsi!$E$110,Asumsi!$E$109,0)+IF(S101&gt;=Asumsi!$E$112,Asumsi!$E$111,0))*Asumsi!$E$12+Asumsi!$E$113</f>
        <v>2537510</v>
      </c>
      <c r="T128" s="9" t="n">
        <f aca="false">(Asumsi!$E$108+IF(T101&gt;=Asumsi!$E$110,Asumsi!$E$109,0)+IF(T101&gt;=Asumsi!$E$112,Asumsi!$E$111,0))*Asumsi!$E$12+Asumsi!$E$113</f>
        <v>2537510</v>
      </c>
      <c r="U128" s="9" t="n">
        <f aca="false">(Asumsi!$E$108+IF(U101&gt;=Asumsi!$E$110,Asumsi!$E$109,0)+IF(U101&gt;=Asumsi!$E$112,Asumsi!$E$111,0))*Asumsi!$E$12+Asumsi!$E$113</f>
        <v>2537510</v>
      </c>
      <c r="V128" s="9" t="n">
        <f aca="false">(Asumsi!$E$108+IF(V101&gt;=Asumsi!$E$110,Asumsi!$E$109,0)+IF(V101&gt;=Asumsi!$E$112,Asumsi!$E$111,0))*Asumsi!$E$12+Asumsi!$E$113</f>
        <v>2537510</v>
      </c>
      <c r="W128" s="9" t="n">
        <f aca="false">(Asumsi!$E$108+IF(W101&gt;=Asumsi!$E$110,Asumsi!$E$109,0)+IF(W101&gt;=Asumsi!$E$112,Asumsi!$E$111,0))*Asumsi!$E$12+Asumsi!$E$113</f>
        <v>2537510</v>
      </c>
      <c r="X128" s="9" t="n">
        <f aca="false">(Asumsi!$E$108+IF(X101&gt;=Asumsi!$E$110,Asumsi!$E$109,0)+IF(X101&gt;=Asumsi!$E$112,Asumsi!$E$111,0))*Asumsi!$E$12+Asumsi!$E$113</f>
        <v>2537510</v>
      </c>
      <c r="Y128" s="9" t="n">
        <f aca="false">(Asumsi!$E$108+IF(Y101&gt;=Asumsi!$E$110,Asumsi!$E$109,0)+IF(Y101&gt;=Asumsi!$E$112,Asumsi!$E$111,0))*Asumsi!$E$12+Asumsi!$E$113</f>
        <v>2537510</v>
      </c>
      <c r="Z128" s="9" t="n">
        <f aca="false">(Asumsi!$E$108+IF(Z101&gt;=Asumsi!$E$110,Asumsi!$E$109,0)+IF(Z101&gt;=Asumsi!$E$112,Asumsi!$E$111,0))*Asumsi!$E$12+Asumsi!$E$113</f>
        <v>2537510</v>
      </c>
      <c r="AA128" s="9" t="n">
        <f aca="false">(Asumsi!$E$108+IF(AA101&gt;=Asumsi!$E$110,Asumsi!$E$109,0)+IF(AA101&gt;=Asumsi!$E$112,Asumsi!$E$111,0))*Asumsi!$E$12+Asumsi!$E$113</f>
        <v>2537510</v>
      </c>
      <c r="AB128" s="64" t="n">
        <f aca="false">SUM(D128:O128)</f>
        <v>30450120</v>
      </c>
      <c r="AC128" s="64" t="n">
        <f aca="false">SUM(P128:AA128)</f>
        <v>30450120</v>
      </c>
      <c r="AD128" s="64" t="n">
        <f aca="false">SUM(C128:AA128)</f>
        <v>68512770</v>
      </c>
    </row>
    <row r="129" customFormat="false" ht="15" hidden="false" customHeight="false" outlineLevel="0" collapsed="false">
      <c r="A129" s="4" t="s">
        <v>713</v>
      </c>
      <c r="B129" s="2" t="s">
        <v>46</v>
      </c>
      <c r="D129" s="9" t="n">
        <f aca="false">Asumsi!$E$117</f>
        <v>10000000</v>
      </c>
      <c r="E129" s="9" t="n">
        <f aca="false">Asumsi!$E$117</f>
        <v>10000000</v>
      </c>
      <c r="F129" s="9" t="n">
        <f aca="false">Asumsi!$E$117</f>
        <v>10000000</v>
      </c>
      <c r="G129" s="9" t="n">
        <f aca="false">Asumsi!$E$117</f>
        <v>10000000</v>
      </c>
      <c r="H129" s="9" t="n">
        <f aca="false">Asumsi!$E$117</f>
        <v>10000000</v>
      </c>
      <c r="I129" s="9" t="n">
        <f aca="false">Asumsi!$E$117</f>
        <v>10000000</v>
      </c>
      <c r="J129" s="9" t="n">
        <f aca="false">Asumsi!$E$117</f>
        <v>10000000</v>
      </c>
      <c r="K129" s="9" t="n">
        <f aca="false">Asumsi!$E$117</f>
        <v>10000000</v>
      </c>
      <c r="L129" s="9" t="n">
        <f aca="false">Asumsi!$E$117</f>
        <v>10000000</v>
      </c>
      <c r="M129" s="9" t="n">
        <f aca="false">Asumsi!$E$117</f>
        <v>10000000</v>
      </c>
      <c r="N129" s="9" t="n">
        <f aca="false">Asumsi!$E$117</f>
        <v>10000000</v>
      </c>
      <c r="O129" s="9" t="n">
        <f aca="false">Asumsi!$E$117</f>
        <v>10000000</v>
      </c>
      <c r="P129" s="9" t="n">
        <f aca="false">Asumsi!$E$117</f>
        <v>10000000</v>
      </c>
      <c r="Q129" s="9" t="n">
        <f aca="false">Asumsi!$E$117</f>
        <v>10000000</v>
      </c>
      <c r="R129" s="9" t="n">
        <f aca="false">Asumsi!$E$117</f>
        <v>10000000</v>
      </c>
      <c r="S129" s="9" t="n">
        <f aca="false">Asumsi!$E$117</f>
        <v>10000000</v>
      </c>
      <c r="T129" s="9" t="n">
        <f aca="false">Asumsi!$E$117</f>
        <v>10000000</v>
      </c>
      <c r="U129" s="9" t="n">
        <f aca="false">Asumsi!$E$117</f>
        <v>10000000</v>
      </c>
      <c r="V129" s="9" t="n">
        <f aca="false">Asumsi!$E$117</f>
        <v>10000000</v>
      </c>
      <c r="W129" s="9" t="n">
        <f aca="false">Asumsi!$E$117</f>
        <v>10000000</v>
      </c>
      <c r="X129" s="9" t="n">
        <f aca="false">Asumsi!$E$117</f>
        <v>10000000</v>
      </c>
      <c r="Y129" s="9" t="n">
        <f aca="false">Asumsi!$E$117</f>
        <v>10000000</v>
      </c>
      <c r="Z129" s="9" t="n">
        <f aca="false">Asumsi!$E$117</f>
        <v>10000000</v>
      </c>
      <c r="AA129" s="9" t="n">
        <f aca="false">Asumsi!$E$117</f>
        <v>10000000</v>
      </c>
      <c r="AB129" s="64" t="n">
        <f aca="false">SUM(D129:O129)</f>
        <v>120000000</v>
      </c>
      <c r="AC129" s="64" t="n">
        <f aca="false">SUM(P129:AA129)</f>
        <v>120000000</v>
      </c>
      <c r="AD129" s="64" t="n">
        <f aca="false">SUM(C129:AA129)</f>
        <v>240000000</v>
      </c>
    </row>
    <row r="130" customFormat="false" ht="15" hidden="false" customHeight="false" outlineLevel="0" collapsed="false">
      <c r="A130" s="4" t="s">
        <v>714</v>
      </c>
      <c r="B130" s="2" t="s">
        <v>46</v>
      </c>
      <c r="D130" s="9" t="n">
        <f aca="false">Asumsi!$E$118</f>
        <v>2500000</v>
      </c>
      <c r="E130" s="9" t="n">
        <f aca="false">Asumsi!$E$118</f>
        <v>2500000</v>
      </c>
      <c r="F130" s="9" t="n">
        <f aca="false">Asumsi!$E$118</f>
        <v>2500000</v>
      </c>
      <c r="G130" s="9" t="n">
        <f aca="false">Asumsi!$E$118</f>
        <v>2500000</v>
      </c>
      <c r="H130" s="9" t="n">
        <f aca="false">Asumsi!$E$118</f>
        <v>2500000</v>
      </c>
      <c r="I130" s="9" t="n">
        <f aca="false">Asumsi!$E$118</f>
        <v>2500000</v>
      </c>
      <c r="J130" s="9" t="n">
        <f aca="false">Asumsi!$E$118</f>
        <v>2500000</v>
      </c>
      <c r="K130" s="9" t="n">
        <f aca="false">Asumsi!$E$118</f>
        <v>2500000</v>
      </c>
      <c r="L130" s="9" t="n">
        <f aca="false">Asumsi!$E$118</f>
        <v>2500000</v>
      </c>
      <c r="M130" s="9" t="n">
        <f aca="false">Asumsi!$E$118</f>
        <v>2500000</v>
      </c>
      <c r="N130" s="9" t="n">
        <f aca="false">Asumsi!$E$118</f>
        <v>2500000</v>
      </c>
      <c r="O130" s="9" t="n">
        <f aca="false">Asumsi!$E$118</f>
        <v>2500000</v>
      </c>
      <c r="P130" s="9" t="n">
        <f aca="false">Asumsi!$E$118</f>
        <v>2500000</v>
      </c>
      <c r="Q130" s="9" t="n">
        <f aca="false">Asumsi!$E$118</f>
        <v>2500000</v>
      </c>
      <c r="R130" s="9" t="n">
        <f aca="false">Asumsi!$E$118</f>
        <v>2500000</v>
      </c>
      <c r="S130" s="9" t="n">
        <f aca="false">Asumsi!$E$118</f>
        <v>2500000</v>
      </c>
      <c r="T130" s="9" t="n">
        <f aca="false">Asumsi!$E$118</f>
        <v>2500000</v>
      </c>
      <c r="U130" s="9" t="n">
        <f aca="false">Asumsi!$E$118</f>
        <v>2500000</v>
      </c>
      <c r="V130" s="9" t="n">
        <f aca="false">Asumsi!$E$118</f>
        <v>2500000</v>
      </c>
      <c r="W130" s="9" t="n">
        <f aca="false">Asumsi!$E$118</f>
        <v>2500000</v>
      </c>
      <c r="X130" s="9" t="n">
        <f aca="false">Asumsi!$E$118</f>
        <v>2500000</v>
      </c>
      <c r="Y130" s="9" t="n">
        <f aca="false">Asumsi!$E$118</f>
        <v>2500000</v>
      </c>
      <c r="Z130" s="9" t="n">
        <f aca="false">Asumsi!$E$118</f>
        <v>2500000</v>
      </c>
      <c r="AA130" s="9" t="n">
        <f aca="false">Asumsi!$E$118</f>
        <v>2500000</v>
      </c>
      <c r="AB130" s="64" t="n">
        <f aca="false">SUM(D130:O130)</f>
        <v>30000000</v>
      </c>
      <c r="AC130" s="64" t="n">
        <f aca="false">SUM(P130:AA130)</f>
        <v>30000000</v>
      </c>
      <c r="AD130" s="64" t="n">
        <f aca="false">SUM(C130:AA130)</f>
        <v>60000000</v>
      </c>
    </row>
    <row r="131" customFormat="false" ht="15" hidden="false" customHeight="false" outlineLevel="0" collapsed="false">
      <c r="A131" s="4" t="s">
        <v>715</v>
      </c>
      <c r="B131" s="2" t="s">
        <v>46</v>
      </c>
      <c r="C131" s="9" t="n">
        <f aca="false">(Asumsi!$E$120+Asumsi!$E$121)*Asumsi!$E$12</f>
        <v>2221708</v>
      </c>
      <c r="D131" s="9" t="n">
        <f aca="false">IF(MOD(D$5,12)=0,Asumsi!$E$121*Asumsi!$E$12,0)</f>
        <v>0</v>
      </c>
      <c r="E131" s="9" t="n">
        <f aca="false">IF(MOD(E$5,12)=0,Asumsi!$E$121*Asumsi!$E$12,0)</f>
        <v>0</v>
      </c>
      <c r="F131" s="9" t="n">
        <f aca="false">IF(MOD(F$5,12)=0,Asumsi!$E$121*Asumsi!$E$12,0)</f>
        <v>0</v>
      </c>
      <c r="G131" s="9" t="n">
        <f aca="false">IF(MOD(G$5,12)=0,Asumsi!$E$121*Asumsi!$E$12,0)</f>
        <v>0</v>
      </c>
      <c r="H131" s="9" t="n">
        <f aca="false">IF(MOD(H$5,12)=0,Asumsi!$E$121*Asumsi!$E$12,0)</f>
        <v>0</v>
      </c>
      <c r="I131" s="9" t="n">
        <f aca="false">IF(MOD(I$5,12)=0,Asumsi!$E$121*Asumsi!$E$12,0)</f>
        <v>0</v>
      </c>
      <c r="J131" s="9" t="n">
        <f aca="false">IF(MOD(J$5,12)=0,Asumsi!$E$121*Asumsi!$E$12,0)</f>
        <v>0</v>
      </c>
      <c r="K131" s="9" t="n">
        <f aca="false">IF(MOD(K$5,12)=0,Asumsi!$E$121*Asumsi!$E$12,0)</f>
        <v>0</v>
      </c>
      <c r="L131" s="9" t="n">
        <f aca="false">IF(MOD(L$5,12)=0,Asumsi!$E$121*Asumsi!$E$12,0)</f>
        <v>0</v>
      </c>
      <c r="M131" s="9" t="n">
        <f aca="false">IF(MOD(M$5,12)=0,Asumsi!$E$121*Asumsi!$E$12,0)</f>
        <v>0</v>
      </c>
      <c r="N131" s="9" t="n">
        <f aca="false">IF(MOD(N$5,12)=0,Asumsi!$E$121*Asumsi!$E$12,0)</f>
        <v>0</v>
      </c>
      <c r="O131" s="9" t="n">
        <f aca="false">IF(MOD(O$5,12)=0,Asumsi!$E$121*Asumsi!$E$12,0)</f>
        <v>1773783</v>
      </c>
      <c r="P131" s="9" t="n">
        <f aca="false">IF(MOD(P$5,12)=0,Asumsi!$E$121*Asumsi!$E$12,0)</f>
        <v>0</v>
      </c>
      <c r="Q131" s="9" t="n">
        <f aca="false">IF(MOD(Q$5,12)=0,Asumsi!$E$121*Asumsi!$E$12,0)</f>
        <v>0</v>
      </c>
      <c r="R131" s="9" t="n">
        <f aca="false">IF(MOD(R$5,12)=0,Asumsi!$E$121*Asumsi!$E$12,0)</f>
        <v>0</v>
      </c>
      <c r="S131" s="9" t="n">
        <f aca="false">IF(MOD(S$5,12)=0,Asumsi!$E$121*Asumsi!$E$12,0)</f>
        <v>0</v>
      </c>
      <c r="T131" s="9" t="n">
        <f aca="false">IF(MOD(T$5,12)=0,Asumsi!$E$121*Asumsi!$E$12,0)</f>
        <v>0</v>
      </c>
      <c r="U131" s="9" t="n">
        <f aca="false">IF(MOD(U$5,12)=0,Asumsi!$E$121*Asumsi!$E$12,0)</f>
        <v>0</v>
      </c>
      <c r="V131" s="9" t="n">
        <f aca="false">IF(MOD(V$5,12)=0,Asumsi!$E$121*Asumsi!$E$12,0)</f>
        <v>0</v>
      </c>
      <c r="W131" s="9" t="n">
        <f aca="false">IF(MOD(W$5,12)=0,Asumsi!$E$121*Asumsi!$E$12,0)</f>
        <v>0</v>
      </c>
      <c r="X131" s="9" t="n">
        <f aca="false">IF(MOD(X$5,12)=0,Asumsi!$E$121*Asumsi!$E$12,0)</f>
        <v>0</v>
      </c>
      <c r="Y131" s="9" t="n">
        <f aca="false">IF(MOD(Y$5,12)=0,Asumsi!$E$121*Asumsi!$E$12,0)</f>
        <v>0</v>
      </c>
      <c r="Z131" s="9" t="n">
        <f aca="false">IF(MOD(Z$5,12)=0,Asumsi!$E$121*Asumsi!$E$12,0)</f>
        <v>0</v>
      </c>
      <c r="AA131" s="9" t="n">
        <f aca="false">IF(MOD(AA$5,12)=0,Asumsi!$E$121*Asumsi!$E$12,0)</f>
        <v>1773783</v>
      </c>
      <c r="AB131" s="64" t="n">
        <f aca="false">SUM(D131:O131)</f>
        <v>1773783</v>
      </c>
      <c r="AC131" s="64" t="n">
        <f aca="false">SUM(P131:AA131)</f>
        <v>1773783</v>
      </c>
      <c r="AD131" s="64" t="n">
        <f aca="false">SUM(C131:AA131)</f>
        <v>5769274</v>
      </c>
    </row>
    <row r="132" customFormat="false" ht="15" hidden="false" customHeight="false" outlineLevel="0" collapsed="false">
      <c r="A132" s="4" t="s">
        <v>716</v>
      </c>
      <c r="B132" s="2" t="s">
        <v>46</v>
      </c>
      <c r="C132" s="9" t="n">
        <f aca="false">Asumsi!$E$123+Asumsi!$E$124+Asumsi!$E$125+Asumsi!$E$126+Asumsi!$E$127+Asumsi!$E$128+Asumsi!$E$129+Asumsi!$E$130</f>
        <v>225000000</v>
      </c>
      <c r="D132" s="9" t="n">
        <f aca="false">IF(D$5=13,Asumsi!$E$131,0)</f>
        <v>0</v>
      </c>
      <c r="E132" s="9" t="n">
        <f aca="false">IF(E$5=13,Asumsi!$E$131,0)</f>
        <v>0</v>
      </c>
      <c r="F132" s="9" t="n">
        <f aca="false">IF(F$5=13,Asumsi!$E$131,0)</f>
        <v>0</v>
      </c>
      <c r="G132" s="9" t="n">
        <f aca="false">IF(G$5=13,Asumsi!$E$131,0)</f>
        <v>0</v>
      </c>
      <c r="H132" s="9" t="n">
        <f aca="false">IF(H$5=13,Asumsi!$E$131,0)</f>
        <v>0</v>
      </c>
      <c r="I132" s="9" t="n">
        <f aca="false">IF(I$5=13,Asumsi!$E$131,0)</f>
        <v>0</v>
      </c>
      <c r="J132" s="9" t="n">
        <f aca="false">IF(J$5=13,Asumsi!$E$131,0)</f>
        <v>0</v>
      </c>
      <c r="K132" s="9" t="n">
        <f aca="false">IF(K$5=13,Asumsi!$E$131,0)</f>
        <v>0</v>
      </c>
      <c r="L132" s="9" t="n">
        <f aca="false">IF(L$5=13,Asumsi!$E$131,0)</f>
        <v>0</v>
      </c>
      <c r="M132" s="9" t="n">
        <f aca="false">IF(M$5=13,Asumsi!$E$131,0)</f>
        <v>0</v>
      </c>
      <c r="N132" s="9" t="n">
        <f aca="false">IF(N$5=13,Asumsi!$E$131,0)</f>
        <v>0</v>
      </c>
      <c r="O132" s="9" t="n">
        <f aca="false">IF(O$5=13,Asumsi!$E$131,0)</f>
        <v>0</v>
      </c>
      <c r="P132" s="9" t="n">
        <f aca="false">IF(P$5=13,Asumsi!$E$131,0)</f>
        <v>35000000</v>
      </c>
      <c r="Q132" s="9" t="n">
        <f aca="false">IF(Q$5=13,Asumsi!$E$131,0)</f>
        <v>0</v>
      </c>
      <c r="R132" s="9" t="n">
        <f aca="false">IF(R$5=13,Asumsi!$E$131,0)</f>
        <v>0</v>
      </c>
      <c r="S132" s="9" t="n">
        <f aca="false">IF(S$5=13,Asumsi!$E$131,0)</f>
        <v>0</v>
      </c>
      <c r="T132" s="9" t="n">
        <f aca="false">IF(T$5=13,Asumsi!$E$131,0)</f>
        <v>0</v>
      </c>
      <c r="U132" s="9" t="n">
        <f aca="false">IF(U$5=13,Asumsi!$E$131,0)</f>
        <v>0</v>
      </c>
      <c r="V132" s="9" t="n">
        <f aca="false">IF(V$5=13,Asumsi!$E$131,0)</f>
        <v>0</v>
      </c>
      <c r="W132" s="9" t="n">
        <f aca="false">IF(W$5=13,Asumsi!$E$131,0)</f>
        <v>0</v>
      </c>
      <c r="X132" s="9" t="n">
        <f aca="false">IF(X$5=13,Asumsi!$E$131,0)</f>
        <v>0</v>
      </c>
      <c r="Y132" s="9" t="n">
        <f aca="false">IF(Y$5=13,Asumsi!$E$131,0)</f>
        <v>0</v>
      </c>
      <c r="Z132" s="9" t="n">
        <f aca="false">IF(Z$5=13,Asumsi!$E$131,0)</f>
        <v>0</v>
      </c>
      <c r="AA132" s="9" t="n">
        <f aca="false">IF(AA$5=13,Asumsi!$E$131,0)</f>
        <v>0</v>
      </c>
      <c r="AB132" s="64" t="n">
        <f aca="false">SUM(D132:O132)</f>
        <v>0</v>
      </c>
      <c r="AC132" s="64" t="n">
        <f aca="false">SUM(P132:AA132)</f>
        <v>35000000</v>
      </c>
      <c r="AD132" s="64" t="n">
        <f aca="false">SUM(C132:AA132)</f>
        <v>260000000</v>
      </c>
    </row>
    <row r="133" customFormat="false" ht="15" hidden="false" customHeight="false" outlineLevel="0" collapsed="false">
      <c r="A133" s="4" t="s">
        <v>717</v>
      </c>
      <c r="B133" s="2" t="s">
        <v>46</v>
      </c>
      <c r="C133" s="9" t="n">
        <f aca="false">Asumsi!$E$119*(C127+C128+C129+C130)</f>
        <v>22361253</v>
      </c>
      <c r="D133" s="9" t="n">
        <f aca="false">Asumsi!$E$119*(D127+D128+D129+D130)</f>
        <v>8703751</v>
      </c>
      <c r="E133" s="9" t="n">
        <f aca="false">Asumsi!$E$119*(E127+E128+E129+E130)</f>
        <v>8703751</v>
      </c>
      <c r="F133" s="9" t="n">
        <f aca="false">Asumsi!$E$119*(F127+F128+F129+F130)</f>
        <v>8703751</v>
      </c>
      <c r="G133" s="9" t="n">
        <f aca="false">Asumsi!$E$119*(G127+G128+G129+G130)</f>
        <v>8703751</v>
      </c>
      <c r="H133" s="9" t="n">
        <f aca="false">Asumsi!$E$119*(H127+H128+H129+H130)</f>
        <v>8703751</v>
      </c>
      <c r="I133" s="9" t="n">
        <f aca="false">Asumsi!$E$119*(I127+I128+I129+I130)</f>
        <v>8703751</v>
      </c>
      <c r="J133" s="9" t="n">
        <f aca="false">Asumsi!$E$119*(J127+J128+J129+J130)</f>
        <v>8703751</v>
      </c>
      <c r="K133" s="9" t="n">
        <f aca="false">Asumsi!$E$119*(K127+K128+K129+K130)</f>
        <v>8703751</v>
      </c>
      <c r="L133" s="9" t="n">
        <f aca="false">Asumsi!$E$119*(L127+L128+L129+L130)</f>
        <v>8703751</v>
      </c>
      <c r="M133" s="9" t="n">
        <f aca="false">Asumsi!$E$119*(M127+M128+M129+M130)</f>
        <v>8703751</v>
      </c>
      <c r="N133" s="9" t="n">
        <f aca="false">Asumsi!$E$119*(N127+N128+N129+N130)</f>
        <v>8703751</v>
      </c>
      <c r="O133" s="9" t="n">
        <f aca="false">Asumsi!$E$119*(O127+O128+O129+O130)</f>
        <v>8703751</v>
      </c>
      <c r="P133" s="9" t="n">
        <f aca="false">Asumsi!$E$119*(P127+P128+P129+P130)</f>
        <v>11703751</v>
      </c>
      <c r="Q133" s="9" t="n">
        <f aca="false">Asumsi!$E$119*(Q127+Q128+Q129+Q130)</f>
        <v>11703751</v>
      </c>
      <c r="R133" s="9" t="n">
        <f aca="false">Asumsi!$E$119*(R127+R128+R129+R130)</f>
        <v>11703751</v>
      </c>
      <c r="S133" s="9" t="n">
        <f aca="false">Asumsi!$E$119*(S127+S128+S129+S130)</f>
        <v>11703751</v>
      </c>
      <c r="T133" s="9" t="n">
        <f aca="false">Asumsi!$E$119*(T127+T128+T129+T130)</f>
        <v>11703751</v>
      </c>
      <c r="U133" s="9" t="n">
        <f aca="false">Asumsi!$E$119*(U127+U128+U129+U130)</f>
        <v>11703751</v>
      </c>
      <c r="V133" s="9" t="n">
        <f aca="false">Asumsi!$E$119*(V127+V128+V129+V130)</f>
        <v>11703751</v>
      </c>
      <c r="W133" s="9" t="n">
        <f aca="false">Asumsi!$E$119*(W127+W128+W129+W130)</f>
        <v>11703751</v>
      </c>
      <c r="X133" s="9" t="n">
        <f aca="false">Asumsi!$E$119*(X127+X128+X129+X130)</f>
        <v>11703751</v>
      </c>
      <c r="Y133" s="9" t="n">
        <f aca="false">Asumsi!$E$119*(Y127+Y128+Y129+Y130)</f>
        <v>11703751</v>
      </c>
      <c r="Z133" s="9" t="n">
        <f aca="false">Asumsi!$E$119*(Z127+Z128+Z129+Z130)</f>
        <v>11703751</v>
      </c>
      <c r="AA133" s="9" t="n">
        <f aca="false">Asumsi!$E$119*(AA127+AA128+AA129+AA130)</f>
        <v>11703751</v>
      </c>
      <c r="AB133" s="64" t="n">
        <f aca="false">SUM(D133:O133)</f>
        <v>104445012</v>
      </c>
      <c r="AC133" s="64" t="n">
        <f aca="false">SUM(P133:AA133)</f>
        <v>140445012</v>
      </c>
      <c r="AD133" s="64" t="n">
        <f aca="false">SUM(C133:AA133)</f>
        <v>267251277</v>
      </c>
    </row>
    <row r="134" customFormat="false" ht="15" hidden="false" customHeight="false" outlineLevel="0" collapsed="false">
      <c r="A134" s="25" t="s">
        <v>718</v>
      </c>
      <c r="B134" s="2" t="s">
        <v>46</v>
      </c>
      <c r="C134" s="64" t="n">
        <f aca="false">SUM(C126:C133)</f>
        <v>473195491</v>
      </c>
      <c r="D134" s="64" t="n">
        <f aca="false">SUM(D126:D133)</f>
        <v>100741261</v>
      </c>
      <c r="E134" s="64" t="n">
        <f aca="false">SUM(E126:E133)</f>
        <v>100741261</v>
      </c>
      <c r="F134" s="64" t="n">
        <f aca="false">SUM(F126:F133)</f>
        <v>100741261</v>
      </c>
      <c r="G134" s="64" t="n">
        <f aca="false">SUM(G126:G133)</f>
        <v>120741261</v>
      </c>
      <c r="H134" s="64" t="n">
        <f aca="false">SUM(H126:H133)</f>
        <v>120741261</v>
      </c>
      <c r="I134" s="64" t="n">
        <f aca="false">SUM(I126:I133)</f>
        <v>120741261</v>
      </c>
      <c r="J134" s="64" t="n">
        <f aca="false">SUM(J126:J133)</f>
        <v>120741261</v>
      </c>
      <c r="K134" s="64" t="n">
        <f aca="false">SUM(K126:K133)</f>
        <v>120741261</v>
      </c>
      <c r="L134" s="64" t="n">
        <f aca="false">SUM(L126:L133)</f>
        <v>120741261</v>
      </c>
      <c r="M134" s="64" t="n">
        <f aca="false">SUM(M126:M133)</f>
        <v>120741261</v>
      </c>
      <c r="N134" s="64" t="n">
        <f aca="false">SUM(N126:N133)</f>
        <v>120741261</v>
      </c>
      <c r="O134" s="64" t="n">
        <f aca="false">SUM(O126:O133)</f>
        <v>122515044</v>
      </c>
      <c r="P134" s="64" t="n">
        <f aca="false">SUM(P126:P133)</f>
        <v>198741261</v>
      </c>
      <c r="Q134" s="64" t="n">
        <f aca="false">SUM(Q126:Q133)</f>
        <v>163741261</v>
      </c>
      <c r="R134" s="64" t="n">
        <f aca="false">SUM(R126:R133)</f>
        <v>163741261</v>
      </c>
      <c r="S134" s="64" t="n">
        <f aca="false">SUM(S126:S133)</f>
        <v>163741261</v>
      </c>
      <c r="T134" s="64" t="n">
        <f aca="false">SUM(T126:T133)</f>
        <v>163741261</v>
      </c>
      <c r="U134" s="64" t="n">
        <f aca="false">SUM(U126:U133)</f>
        <v>163741261</v>
      </c>
      <c r="V134" s="64" t="n">
        <f aca="false">SUM(V126:V133)</f>
        <v>163741261</v>
      </c>
      <c r="W134" s="64" t="n">
        <f aca="false">SUM(W126:W133)</f>
        <v>163741261</v>
      </c>
      <c r="X134" s="64" t="n">
        <f aca="false">SUM(X126:X133)</f>
        <v>163741261</v>
      </c>
      <c r="Y134" s="64" t="n">
        <f aca="false">SUM(Y126:Y133)</f>
        <v>163741261</v>
      </c>
      <c r="Z134" s="64" t="n">
        <f aca="false">SUM(Z126:Z133)</f>
        <v>163741261</v>
      </c>
      <c r="AA134" s="64" t="n">
        <f aca="false">SUM(AA126:AA133)</f>
        <v>165515044</v>
      </c>
      <c r="AB134" s="64" t="n">
        <f aca="false">SUM(D134:O134)</f>
        <v>1390668915</v>
      </c>
      <c r="AC134" s="64" t="n">
        <f aca="false">SUM(P134:AA134)</f>
        <v>2001668915</v>
      </c>
      <c r="AD134" s="64" t="n">
        <f aca="false">SUM(C134:AA134)</f>
        <v>3865533321</v>
      </c>
    </row>
    <row r="135" customFormat="false" ht="15" hidden="false" customHeight="false" outlineLevel="0" collapsed="false">
      <c r="A135" s="7" t="s">
        <v>719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customFormat="false" ht="15" hidden="false" customHeight="false" outlineLevel="0" collapsed="false">
      <c r="A136" s="25" t="s">
        <v>720</v>
      </c>
      <c r="B136" s="2" t="s">
        <v>46</v>
      </c>
      <c r="C136" s="64" t="n">
        <f aca="false">C123-C134</f>
        <v>-474286247.38</v>
      </c>
      <c r="D136" s="64" t="n">
        <f aca="false">D123-D134</f>
        <v>-99404390.22709</v>
      </c>
      <c r="E136" s="64" t="n">
        <f aca="false">E123-E134</f>
        <v>-98423190.6471405</v>
      </c>
      <c r="F136" s="64" t="n">
        <f aca="false">F123-F134</f>
        <v>-97405987.1733254</v>
      </c>
      <c r="G136" s="64" t="n">
        <f aca="false">G123-G134</f>
        <v>-117611531.637674</v>
      </c>
      <c r="H136" s="64" t="n">
        <f aca="false">H123-H134</f>
        <v>-116510711.137176</v>
      </c>
      <c r="I136" s="64" t="n">
        <f aca="false">I123-I134</f>
        <v>-115355775.711215</v>
      </c>
      <c r="J136" s="64" t="n">
        <f aca="false">J123-J134</f>
        <v>-113059803.270355</v>
      </c>
      <c r="K136" s="64" t="n">
        <f aca="false">K123-K134</f>
        <v>-111613364.757106</v>
      </c>
      <c r="L136" s="64" t="n">
        <f aca="false">L123-L134</f>
        <v>-110080985.283833</v>
      </c>
      <c r="M136" s="64" t="n">
        <f aca="false">M123-M134</f>
        <v>-108453804.0572</v>
      </c>
      <c r="N136" s="64" t="n">
        <f aca="false">N123-N134</f>
        <v>-106722474.282765</v>
      </c>
      <c r="O136" s="64" t="n">
        <f aca="false">O123-O134</f>
        <v>-106650876.173391</v>
      </c>
      <c r="P136" s="64" t="n">
        <f aca="false">P123-P134</f>
        <v>-181539814.431778</v>
      </c>
      <c r="Q136" s="64" t="n">
        <f aca="false">Q123-Q134</f>
        <v>-144444818.604081</v>
      </c>
      <c r="R136" s="64" t="n">
        <f aca="false">R123-R134</f>
        <v>-142201580.231135</v>
      </c>
      <c r="S136" s="64" t="n">
        <f aca="false">S123-S134</f>
        <v>-139797247.632263</v>
      </c>
      <c r="T136" s="64" t="n">
        <f aca="false">T123-T134</f>
        <v>-137907372.987771</v>
      </c>
      <c r="U136" s="64" t="n">
        <f aca="false">U123-U134</f>
        <v>-136285401.293949</v>
      </c>
      <c r="V136" s="64" t="n">
        <f aca="false">V123-V134</f>
        <v>-134634453.02584</v>
      </c>
      <c r="W136" s="64" t="n">
        <f aca="false">W123-W134</f>
        <v>-132946465.531312</v>
      </c>
      <c r="X136" s="64" t="n">
        <f aca="false">X123-X134</f>
        <v>-131213058.584054</v>
      </c>
      <c r="Y136" s="64" t="n">
        <f aca="false">Y123-Y134</f>
        <v>-129425490.313678</v>
      </c>
      <c r="Z136" s="64" t="n">
        <f aca="false">Z123-Z134</f>
        <v>-127574610.674072</v>
      </c>
      <c r="AA136" s="64" t="n">
        <f aca="false">AA123-AA134</f>
        <v>-127424595.192433</v>
      </c>
      <c r="AB136" s="64" t="n">
        <f aca="false">SUM(D136:O136)</f>
        <v>-1301292894.35827</v>
      </c>
      <c r="AC136" s="64" t="n">
        <f aca="false">SUM(P136:AA136)</f>
        <v>-1665394908.50237</v>
      </c>
      <c r="AD136" s="64" t="n">
        <f aca="false">SUM(C136:AA136)</f>
        <v>-3440974050.24063</v>
      </c>
    </row>
    <row r="137" customFormat="false" ht="15" hidden="false" customHeight="false" outlineLevel="0" collapsed="false">
      <c r="A137" s="4" t="s">
        <v>721</v>
      </c>
      <c r="B137" s="2" t="s">
        <v>46</v>
      </c>
      <c r="D137" s="9" t="n">
        <f aca="false">IF(Asumsi!$E$13&gt;=1,C110-D110,0)</f>
        <v>-3927823.5</v>
      </c>
      <c r="E137" s="9" t="n">
        <f aca="false">IF(Asumsi!$E$13&gt;=1,D110-E110,0)</f>
        <v>-1722923.795213</v>
      </c>
      <c r="F137" s="9" t="n">
        <f aca="false">IF(Asumsi!$E$13&gt;=1,E110-F110,0)</f>
        <v>-1799084.31131227</v>
      </c>
      <c r="G137" s="9" t="n">
        <f aca="false">IF(Asumsi!$E$13&gt;=1,F110-G110,0)</f>
        <v>-1885076.55973938</v>
      </c>
      <c r="H137" s="9" t="n">
        <f aca="false">IF(Asumsi!$E$13&gt;=1,G110-H110,0)</f>
        <v>-1976154.97844451</v>
      </c>
      <c r="I137" s="9" t="n">
        <f aca="false">IF(Asumsi!$E$13&gt;=1,H110-I110,0)</f>
        <v>-2081956.29653872</v>
      </c>
      <c r="J137" s="9" t="n">
        <f aca="false">IF(Asumsi!$E$13&gt;=1,I110-J110,0)</f>
        <v>-3279047.02543306</v>
      </c>
      <c r="K137" s="9" t="n">
        <f aca="false">IF(Asumsi!$E$13&gt;=1,J110-K110,0)</f>
        <v>-2490345.69972045</v>
      </c>
      <c r="L137" s="9" t="n">
        <f aca="false">IF(Asumsi!$E$13&gt;=1,K110-L110,0)</f>
        <v>-2642337.49116877</v>
      </c>
      <c r="M137" s="9" t="n">
        <f aca="false">IF(Asumsi!$E$13&gt;=1,L110-M110,0)</f>
        <v>-2808873.86289403</v>
      </c>
      <c r="N137" s="9" t="n">
        <f aca="false">IF(Asumsi!$E$13&gt;=1,M110-N110,0)</f>
        <v>-2990933.46383416</v>
      </c>
      <c r="O137" s="9" t="n">
        <f aca="false">IF(Asumsi!$E$13&gt;=1,N110-O110,0)</f>
        <v>-3189594.4825359</v>
      </c>
      <c r="P137" s="9" t="n">
        <f aca="false">IF(Asumsi!$E$13&gt;=1,O110-P110,0)</f>
        <v>-3406040.68401389</v>
      </c>
      <c r="Q137" s="9" t="n">
        <f aca="false">IF(Asumsi!$E$13&gt;=1,P110-Q110,0)</f>
        <v>-3634837.29531928</v>
      </c>
      <c r="R137" s="9" t="n">
        <f aca="false">IF(Asumsi!$E$13&gt;=1,Q110-R110,0)</f>
        <v>-3891114.10240485</v>
      </c>
      <c r="S137" s="9" t="n">
        <f aca="false">IF(Asumsi!$E$13&gt;=1,R110-S110,0)</f>
        <v>-4169409.48884543</v>
      </c>
      <c r="T137" s="9" t="n">
        <f aca="false">IF(Asumsi!$E$13&gt;=1,S110-T110,0)</f>
        <v>-3390537.13375276</v>
      </c>
      <c r="U137" s="9" t="n">
        <f aca="false">IF(Asumsi!$E$13&gt;=1,T110-U110,0)</f>
        <v>-2995055.19763931</v>
      </c>
      <c r="V137" s="9" t="n">
        <f aca="false">IF(Asumsi!$E$13&gt;=1,U110-V110,0)</f>
        <v>-3064857.95836554</v>
      </c>
      <c r="W137" s="9" t="n">
        <f aca="false">IF(Asumsi!$E$13&gt;=1,V110-W110,0)</f>
        <v>-3149923.63428974</v>
      </c>
      <c r="X137" s="9" t="n">
        <f aca="false">IF(Asumsi!$E$13&gt;=1,W110-X110,0)</f>
        <v>-3250921.57305031</v>
      </c>
      <c r="Y137" s="9" t="n">
        <f aca="false">IF(Asumsi!$E$13&gt;=1,X110-Y110,0)</f>
        <v>-3368606.11617476</v>
      </c>
      <c r="Z137" s="9" t="n">
        <f aca="false">IF(Asumsi!$E$13&gt;=1,Y110-Z110,0)</f>
        <v>-3503821.60616417</v>
      </c>
      <c r="AA137" s="9" t="n">
        <f aca="false">IF(Asumsi!$E$13&gt;=1,Z110-AA110,0)</f>
        <v>-3657507.89631309</v>
      </c>
      <c r="AB137" s="64" t="n">
        <f aca="false">SUM(D137:O137)</f>
        <v>-30794151.4668343</v>
      </c>
      <c r="AC137" s="64" t="n">
        <f aca="false">SUM(P137:AA137)</f>
        <v>-41482632.6863331</v>
      </c>
      <c r="AD137" s="64" t="n">
        <f aca="false">SUM(C137:AA137)</f>
        <v>-72276784.1531674</v>
      </c>
    </row>
    <row r="138" customFormat="false" ht="15" hidden="false" customHeight="false" outlineLevel="0" collapsed="false">
      <c r="A138" s="4" t="s">
        <v>722</v>
      </c>
      <c r="B138" s="2" t="s">
        <v>46</v>
      </c>
      <c r="C138" s="36" t="n">
        <f aca="false">C136+C137</f>
        <v>-474286247.38</v>
      </c>
      <c r="D138" s="36" t="n">
        <f aca="false">D136+D137</f>
        <v>-103332213.72709</v>
      </c>
      <c r="E138" s="36" t="n">
        <f aca="false">E136+E137</f>
        <v>-100146114.442353</v>
      </c>
      <c r="F138" s="36" t="n">
        <f aca="false">F136+F137</f>
        <v>-99205071.4846377</v>
      </c>
      <c r="G138" s="36" t="n">
        <f aca="false">G136+G137</f>
        <v>-119496608.197413</v>
      </c>
      <c r="H138" s="36" t="n">
        <f aca="false">H136+H137</f>
        <v>-118486866.11562</v>
      </c>
      <c r="I138" s="36" t="n">
        <f aca="false">I136+I137</f>
        <v>-117437732.007753</v>
      </c>
      <c r="J138" s="36" t="n">
        <f aca="false">J136+J137</f>
        <v>-116338850.295788</v>
      </c>
      <c r="K138" s="36" t="n">
        <f aca="false">K136+K137</f>
        <v>-114103710.456826</v>
      </c>
      <c r="L138" s="36" t="n">
        <f aca="false">L136+L137</f>
        <v>-112723322.775002</v>
      </c>
      <c r="M138" s="36" t="n">
        <f aca="false">M136+M137</f>
        <v>-111262677.920094</v>
      </c>
      <c r="N138" s="36" t="n">
        <f aca="false">N136+N137</f>
        <v>-109713407.746599</v>
      </c>
      <c r="O138" s="36" t="n">
        <f aca="false">O136+O137</f>
        <v>-109840470.655927</v>
      </c>
      <c r="P138" s="36" t="n">
        <f aca="false">P136+P137</f>
        <v>-184945855.115792</v>
      </c>
      <c r="Q138" s="36" t="n">
        <f aca="false">Q136+Q137</f>
        <v>-148079655.8994</v>
      </c>
      <c r="R138" s="36" t="n">
        <f aca="false">R136+R137</f>
        <v>-146092694.33354</v>
      </c>
      <c r="S138" s="36" t="n">
        <f aca="false">S136+S137</f>
        <v>-143966657.121108</v>
      </c>
      <c r="T138" s="36" t="n">
        <f aca="false">T136+T137</f>
        <v>-141297910.121523</v>
      </c>
      <c r="U138" s="36" t="n">
        <f aca="false">U136+U137</f>
        <v>-139280456.491588</v>
      </c>
      <c r="V138" s="36" t="n">
        <f aca="false">V136+V137</f>
        <v>-137699310.984206</v>
      </c>
      <c r="W138" s="36" t="n">
        <f aca="false">W136+W137</f>
        <v>-136096389.165602</v>
      </c>
      <c r="X138" s="36" t="n">
        <f aca="false">X136+X137</f>
        <v>-134463980.157104</v>
      </c>
      <c r="Y138" s="36" t="n">
        <f aca="false">Y136+Y137</f>
        <v>-132794096.429852</v>
      </c>
      <c r="Z138" s="36" t="n">
        <f aca="false">Z136+Z137</f>
        <v>-131078432.280237</v>
      </c>
      <c r="AA138" s="36" t="n">
        <f aca="false">AA136+AA137</f>
        <v>-131082103.088746</v>
      </c>
      <c r="AB138" s="64" t="n">
        <f aca="false">SUM(D138:O138)</f>
        <v>-1332087045.8251</v>
      </c>
      <c r="AC138" s="64" t="n">
        <f aca="false">SUM(P138:AA138)</f>
        <v>-1706877541.1887</v>
      </c>
      <c r="AD138" s="64" t="n">
        <f aca="false">SUM(C138:AA138)</f>
        <v>-3513250834.3938</v>
      </c>
    </row>
    <row r="139" customFormat="false" ht="15" hidden="false" customHeight="false" outlineLevel="0" collapsed="false">
      <c r="A139" s="25" t="s">
        <v>723</v>
      </c>
      <c r="B139" s="2" t="s">
        <v>46</v>
      </c>
      <c r="C139" s="64" t="n">
        <f aca="false">C138</f>
        <v>-474286247.38</v>
      </c>
      <c r="D139" s="64" t="n">
        <f aca="false">C139+D138</f>
        <v>-577618461.10709</v>
      </c>
      <c r="E139" s="64" t="n">
        <f aca="false">D139+E138</f>
        <v>-677764575.549444</v>
      </c>
      <c r="F139" s="64" t="n">
        <f aca="false">E139+F138</f>
        <v>-776969647.034081</v>
      </c>
      <c r="G139" s="64" t="n">
        <f aca="false">F139+G138</f>
        <v>-896466255.231494</v>
      </c>
      <c r="H139" s="64" t="n">
        <f aca="false">G139+H138</f>
        <v>-1014953121.34711</v>
      </c>
      <c r="I139" s="64" t="n">
        <f aca="false">H139+I138</f>
        <v>-1132390853.35487</v>
      </c>
      <c r="J139" s="64" t="n">
        <f aca="false">I139+J138</f>
        <v>-1248729703.65066</v>
      </c>
      <c r="K139" s="64" t="n">
        <f aca="false">J139+K138</f>
        <v>-1362833414.10748</v>
      </c>
      <c r="L139" s="64" t="n">
        <f aca="false">K139+L138</f>
        <v>-1475556736.88248</v>
      </c>
      <c r="M139" s="64" t="n">
        <f aca="false">L139+M138</f>
        <v>-1586819414.80258</v>
      </c>
      <c r="N139" s="64" t="n">
        <f aca="false">M139+N138</f>
        <v>-1696532822.54918</v>
      </c>
      <c r="O139" s="64" t="n">
        <f aca="false">N139+O138</f>
        <v>-1806373293.2051</v>
      </c>
      <c r="P139" s="64" t="n">
        <f aca="false">O139+P138</f>
        <v>-1991319148.3209</v>
      </c>
      <c r="Q139" s="64" t="n">
        <f aca="false">P139+Q138</f>
        <v>-2139398804.2203</v>
      </c>
      <c r="R139" s="64" t="n">
        <f aca="false">Q139+R138</f>
        <v>-2285491498.55384</v>
      </c>
      <c r="S139" s="64" t="n">
        <f aca="false">R139+S138</f>
        <v>-2429458155.67494</v>
      </c>
      <c r="T139" s="64" t="n">
        <f aca="false">S139+T138</f>
        <v>-2570756065.79647</v>
      </c>
      <c r="U139" s="64" t="n">
        <f aca="false">T139+U138</f>
        <v>-2710036522.28806</v>
      </c>
      <c r="V139" s="64" t="n">
        <f aca="false">U139+V138</f>
        <v>-2847735833.27226</v>
      </c>
      <c r="W139" s="64" t="n">
        <f aca="false">V139+W138</f>
        <v>-2983832222.43786</v>
      </c>
      <c r="X139" s="64" t="n">
        <f aca="false">W139+X138</f>
        <v>-3118296202.59497</v>
      </c>
      <c r="Y139" s="64" t="n">
        <f aca="false">X139+Y138</f>
        <v>-3251090299.02482</v>
      </c>
      <c r="Z139" s="64" t="n">
        <f aca="false">Y139+Z138</f>
        <v>-3382168731.30506</v>
      </c>
      <c r="AA139" s="64" t="n">
        <f aca="false">Z139+AA138</f>
        <v>-3513250834.3938</v>
      </c>
      <c r="AB139" s="64" t="n">
        <f aca="false">O139</f>
        <v>-1806373293.2051</v>
      </c>
      <c r="AC139" s="64" t="n">
        <f aca="false">AA139</f>
        <v>-3513250834.3938</v>
      </c>
      <c r="AD139" s="64" t="n">
        <f aca="false">AA139</f>
        <v>-3513250834.3938</v>
      </c>
    </row>
    <row r="140" customFormat="false" ht="15" hidden="false" customHeight="false" outlineLevel="0" collapsed="false">
      <c r="A140" s="4" t="s">
        <v>724</v>
      </c>
      <c r="B140" s="2" t="s">
        <v>81</v>
      </c>
      <c r="D140" s="44" t="n">
        <f aca="false">IF(D136&gt;=0,D$5,999)</f>
        <v>999</v>
      </c>
      <c r="E140" s="44" t="n">
        <f aca="false">IF(E136&gt;=0,E$5,999)</f>
        <v>999</v>
      </c>
      <c r="F140" s="44" t="n">
        <f aca="false">IF(F136&gt;=0,F$5,999)</f>
        <v>999</v>
      </c>
      <c r="G140" s="44" t="n">
        <f aca="false">IF(G136&gt;=0,G$5,999)</f>
        <v>999</v>
      </c>
      <c r="H140" s="44" t="n">
        <f aca="false">IF(H136&gt;=0,H$5,999)</f>
        <v>999</v>
      </c>
      <c r="I140" s="44" t="n">
        <f aca="false">IF(I136&gt;=0,I$5,999)</f>
        <v>999</v>
      </c>
      <c r="J140" s="44" t="n">
        <f aca="false">IF(J136&gt;=0,J$5,999)</f>
        <v>999</v>
      </c>
      <c r="K140" s="44" t="n">
        <f aca="false">IF(K136&gt;=0,K$5,999)</f>
        <v>999</v>
      </c>
      <c r="L140" s="44" t="n">
        <f aca="false">IF(L136&gt;=0,L$5,999)</f>
        <v>999</v>
      </c>
      <c r="M140" s="44" t="n">
        <f aca="false">IF(M136&gt;=0,M$5,999)</f>
        <v>999</v>
      </c>
      <c r="N140" s="44" t="n">
        <f aca="false">IF(N136&gt;=0,N$5,999)</f>
        <v>999</v>
      </c>
      <c r="O140" s="44" t="n">
        <f aca="false">IF(O136&gt;=0,O$5,999)</f>
        <v>999</v>
      </c>
      <c r="P140" s="44" t="n">
        <f aca="false">IF(P136&gt;=0,P$5,999)</f>
        <v>999</v>
      </c>
      <c r="Q140" s="44" t="n">
        <f aca="false">IF(Q136&gt;=0,Q$5,999)</f>
        <v>999</v>
      </c>
      <c r="R140" s="44" t="n">
        <f aca="false">IF(R136&gt;=0,R$5,999)</f>
        <v>999</v>
      </c>
      <c r="S140" s="44" t="n">
        <f aca="false">IF(S136&gt;=0,S$5,999)</f>
        <v>999</v>
      </c>
      <c r="T140" s="44" t="n">
        <f aca="false">IF(T136&gt;=0,T$5,999)</f>
        <v>999</v>
      </c>
      <c r="U140" s="44" t="n">
        <f aca="false">IF(U136&gt;=0,U$5,999)</f>
        <v>999</v>
      </c>
      <c r="V140" s="44" t="n">
        <f aca="false">IF(V136&gt;=0,V$5,999)</f>
        <v>999</v>
      </c>
      <c r="W140" s="44" t="n">
        <f aca="false">IF(W136&gt;=0,W$5,999)</f>
        <v>999</v>
      </c>
      <c r="X140" s="44" t="n">
        <f aca="false">IF(X136&gt;=0,X$5,999)</f>
        <v>999</v>
      </c>
      <c r="Y140" s="44" t="n">
        <f aca="false">IF(Y136&gt;=0,Y$5,999)</f>
        <v>999</v>
      </c>
      <c r="Z140" s="44" t="n">
        <f aca="false">IF(Z136&gt;=0,Z$5,999)</f>
        <v>999</v>
      </c>
      <c r="AA140" s="44" t="n">
        <f aca="false">IF(AA136&gt;=0,AA$5,999)</f>
        <v>999</v>
      </c>
    </row>
    <row r="143" customFormat="false" ht="15" hidden="false" customHeight="false" outlineLevel="0" collapsed="false">
      <c r="A143" s="59" t="s">
        <v>726</v>
      </c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</row>
    <row r="144" customFormat="false" ht="15" hidden="false" customHeight="false" outlineLevel="0" collapsed="false">
      <c r="A144" s="7" t="s">
        <v>666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customFormat="false" ht="15" hidden="false" customHeight="false" outlineLevel="0" collapsed="false">
      <c r="A145" s="4" t="s">
        <v>667</v>
      </c>
      <c r="B145" s="2" t="s">
        <v>20</v>
      </c>
      <c r="C145" s="15" t="n">
        <f aca="false">Asumsi!$F$74</f>
        <v>20</v>
      </c>
      <c r="D145" s="15" t="n">
        <f aca="false">Asumsi!$F$75*(1+Asumsi!$F$76)^(D$5-1)</f>
        <v>25</v>
      </c>
      <c r="E145" s="15" t="n">
        <f aca="false">Asumsi!$F$75*(1+Asumsi!$F$76)^(E$5-1)</f>
        <v>28</v>
      </c>
      <c r="F145" s="15" t="n">
        <f aca="false">Asumsi!$F$75*(1+Asumsi!$F$76)^(F$5-1)</f>
        <v>31.36</v>
      </c>
      <c r="G145" s="15" t="n">
        <f aca="false">Asumsi!$F$75*(1+Asumsi!$F$76)^(G$5-1)</f>
        <v>35.1232</v>
      </c>
      <c r="H145" s="15" t="n">
        <f aca="false">Asumsi!$F$75*(1+Asumsi!$F$76)^(H$5-1)</f>
        <v>39.337984</v>
      </c>
      <c r="I145" s="15" t="n">
        <f aca="false">Asumsi!$F$75*(1+Asumsi!$F$76)^(I$5-1)</f>
        <v>44.05854208</v>
      </c>
      <c r="J145" s="15" t="n">
        <f aca="false">Asumsi!$F$75*(1+Asumsi!$F$76)^(J$5-1)</f>
        <v>49.3455671296</v>
      </c>
      <c r="K145" s="15" t="n">
        <f aca="false">Asumsi!$F$75*(1+Asumsi!$F$76)^(K$5-1)</f>
        <v>55.267035185152</v>
      </c>
      <c r="L145" s="15" t="n">
        <f aca="false">Asumsi!$F$75*(1+Asumsi!$F$76)^(L$5-1)</f>
        <v>61.8990794073703</v>
      </c>
      <c r="M145" s="15" t="n">
        <f aca="false">Asumsi!$F$75*(1+Asumsi!$F$76)^(M$5-1)</f>
        <v>69.3269689362547</v>
      </c>
      <c r="N145" s="15" t="n">
        <f aca="false">Asumsi!$F$75*(1+Asumsi!$F$76)^(N$5-1)</f>
        <v>77.6462052086053</v>
      </c>
      <c r="O145" s="15" t="n">
        <f aca="false">Asumsi!$F$75*(1+Asumsi!$F$76)^(O$5-1)</f>
        <v>86.963749833638</v>
      </c>
      <c r="P145" s="15" t="n">
        <f aca="false">Asumsi!$F$75*(1+Asumsi!$F$76)^(P$5-1)</f>
        <v>97.3993998136745</v>
      </c>
      <c r="Q145" s="15" t="n">
        <f aca="false">Asumsi!$F$75*(1+Asumsi!$F$76)^(Q$5-1)</f>
        <v>109.087327791315</v>
      </c>
      <c r="R145" s="15" t="n">
        <f aca="false">Asumsi!$F$75*(1+Asumsi!$F$76)^(R$5-1)</f>
        <v>122.177807126273</v>
      </c>
      <c r="S145" s="15" t="n">
        <f aca="false">Asumsi!$F$75*(1+Asumsi!$F$76)^(S$5-1)</f>
        <v>136.839143981426</v>
      </c>
      <c r="T145" s="15" t="n">
        <f aca="false">Asumsi!$F$75*(1+Asumsi!$F$76)^(T$5-1)</f>
        <v>153.259841259197</v>
      </c>
      <c r="U145" s="15" t="n">
        <f aca="false">Asumsi!$F$75*(1+Asumsi!$F$76)^(U$5-1)</f>
        <v>171.651022210301</v>
      </c>
      <c r="V145" s="15" t="n">
        <f aca="false">Asumsi!$F$75*(1+Asumsi!$F$76)^(V$5-1)</f>
        <v>192.249144875537</v>
      </c>
      <c r="W145" s="15" t="n">
        <f aca="false">Asumsi!$F$75*(1+Asumsi!$F$76)^(W$5-1)</f>
        <v>215.319042260602</v>
      </c>
      <c r="X145" s="15" t="n">
        <f aca="false">Asumsi!$F$75*(1+Asumsi!$F$76)^(X$5-1)</f>
        <v>241.157327331874</v>
      </c>
      <c r="Y145" s="15" t="n">
        <f aca="false">Asumsi!$F$75*(1+Asumsi!$F$76)^(Y$5-1)</f>
        <v>270.096206611699</v>
      </c>
      <c r="Z145" s="15" t="n">
        <f aca="false">Asumsi!$F$75*(1+Asumsi!$F$76)^(Z$5-1)</f>
        <v>302.507751405103</v>
      </c>
      <c r="AA145" s="15" t="n">
        <f aca="false">Asumsi!$F$75*(1+Asumsi!$F$76)^(AA$5-1)</f>
        <v>338.808681573715</v>
      </c>
      <c r="AB145" s="63" t="n">
        <f aca="false">SUM(D145:O145)</f>
        <v>603.32833178062</v>
      </c>
      <c r="AC145" s="63" t="n">
        <f aca="false">SUM(P145:AA145)</f>
        <v>2350.55269624072</v>
      </c>
      <c r="AD145" s="63" t="n">
        <f aca="false">SUM(C145:AA145)</f>
        <v>2973.88102802134</v>
      </c>
    </row>
    <row r="146" customFormat="false" ht="15" hidden="false" customHeight="false" outlineLevel="0" collapsed="false">
      <c r="A146" s="4" t="s">
        <v>668</v>
      </c>
      <c r="B146" s="2" t="s">
        <v>20</v>
      </c>
      <c r="C146" s="49" t="n">
        <f aca="false">C145</f>
        <v>20</v>
      </c>
      <c r="D146" s="15" t="n">
        <f aca="false">C146*(1-Asumsi!$F$77)+D145</f>
        <v>44.4</v>
      </c>
      <c r="E146" s="15" t="n">
        <f aca="false">D146*(1-Asumsi!$F$77)+E145</f>
        <v>71.068</v>
      </c>
      <c r="F146" s="15" t="n">
        <f aca="false">E146*(1-Asumsi!$F$77)+F145</f>
        <v>100.29596</v>
      </c>
      <c r="G146" s="15" t="n">
        <f aca="false">F146*(1-Asumsi!$F$77)+G145</f>
        <v>132.4102812</v>
      </c>
      <c r="H146" s="15" t="n">
        <f aca="false">G146*(1-Asumsi!$F$77)+H145</f>
        <v>167.775956764</v>
      </c>
      <c r="I146" s="15" t="n">
        <f aca="false">H146*(1-Asumsi!$F$77)+I145</f>
        <v>206.80122014108</v>
      </c>
      <c r="J146" s="15" t="n">
        <f aca="false">I146*(1-Asumsi!$F$77)+J145</f>
        <v>249.942750666448</v>
      </c>
      <c r="K146" s="15" t="n">
        <f aca="false">J146*(1-Asumsi!$F$77)+K145</f>
        <v>297.711503331606</v>
      </c>
      <c r="L146" s="15" t="n">
        <f aca="false">K146*(1-Asumsi!$F$77)+L145</f>
        <v>350.679237639028</v>
      </c>
      <c r="M146" s="15" t="n">
        <f aca="false">L146*(1-Asumsi!$F$77)+M145</f>
        <v>409.485829446112</v>
      </c>
      <c r="N146" s="15" t="n">
        <f aca="false">M146*(1-Asumsi!$F$77)+N145</f>
        <v>474.847459771334</v>
      </c>
      <c r="O146" s="15" t="n">
        <f aca="false">N146*(1-Asumsi!$F$77)+O145</f>
        <v>547.565785811832</v>
      </c>
      <c r="P146" s="15" t="n">
        <f aca="false">O146*(1-Asumsi!$F$77)+P145</f>
        <v>628.538212051152</v>
      </c>
      <c r="Q146" s="15" t="n">
        <f aca="false">P146*(1-Asumsi!$F$77)+Q145</f>
        <v>718.769393480933</v>
      </c>
      <c r="R146" s="15" t="n">
        <f aca="false">Q146*(1-Asumsi!$F$77)+R145</f>
        <v>819.384118802778</v>
      </c>
      <c r="S146" s="15" t="n">
        <f aca="false">R146*(1-Asumsi!$F$77)+S145</f>
        <v>931.641739220121</v>
      </c>
      <c r="T146" s="15" t="n">
        <f aca="false">S146*(1-Asumsi!$F$77)+T145</f>
        <v>1056.95232830271</v>
      </c>
      <c r="U146" s="15" t="n">
        <f aca="false">T146*(1-Asumsi!$F$77)+U145</f>
        <v>1196.89478066393</v>
      </c>
      <c r="V146" s="15" t="n">
        <f aca="false">U146*(1-Asumsi!$F$77)+V145</f>
        <v>1353.23708211955</v>
      </c>
      <c r="W146" s="15" t="n">
        <f aca="false">V146*(1-Asumsi!$F$77)+W145</f>
        <v>1527.95901191657</v>
      </c>
      <c r="X146" s="15" t="n">
        <f aca="false">W146*(1-Asumsi!$F$77)+X145</f>
        <v>1723.27756889094</v>
      </c>
      <c r="Y146" s="15" t="n">
        <f aca="false">X146*(1-Asumsi!$F$77)+Y145</f>
        <v>1941.67544843592</v>
      </c>
      <c r="Z146" s="15" t="n">
        <f aca="false">Y146*(1-Asumsi!$F$77)+Z145</f>
        <v>2185.93293638794</v>
      </c>
      <c r="AA146" s="15" t="n">
        <f aca="false">Z146*(1-Asumsi!$F$77)+AA145</f>
        <v>2459.16362987002</v>
      </c>
      <c r="AB146" s="63" t="n">
        <f aca="false">O146</f>
        <v>547.565785811832</v>
      </c>
      <c r="AC146" s="63" t="n">
        <f aca="false">AA146</f>
        <v>2459.16362987002</v>
      </c>
      <c r="AD146" s="63" t="n">
        <f aca="false">AA146</f>
        <v>2459.16362987002</v>
      </c>
    </row>
    <row r="147" customFormat="false" ht="15" hidden="false" customHeight="false" outlineLevel="0" collapsed="false">
      <c r="A147" s="4" t="s">
        <v>669</v>
      </c>
      <c r="B147" s="2" t="s">
        <v>20</v>
      </c>
      <c r="D147" s="15" t="n">
        <f aca="false">D146*Asumsi!$F$78</f>
        <v>17.76</v>
      </c>
      <c r="E147" s="15" t="n">
        <f aca="false">E146*Asumsi!$F$78</f>
        <v>28.4272</v>
      </c>
      <c r="F147" s="15" t="n">
        <f aca="false">F146*Asumsi!$F$78</f>
        <v>40.118384</v>
      </c>
      <c r="G147" s="15" t="n">
        <f aca="false">G146*Asumsi!$F$78</f>
        <v>52.96411248</v>
      </c>
      <c r="H147" s="15" t="n">
        <f aca="false">H146*Asumsi!$F$78</f>
        <v>67.1103827056</v>
      </c>
      <c r="I147" s="15" t="n">
        <f aca="false">I146*Asumsi!$F$78</f>
        <v>82.720488056432</v>
      </c>
      <c r="J147" s="15" t="n">
        <f aca="false">J146*Asumsi!$F$78</f>
        <v>99.9771002665791</v>
      </c>
      <c r="K147" s="15" t="n">
        <f aca="false">K146*Asumsi!$F$78</f>
        <v>119.084601332643</v>
      </c>
      <c r="L147" s="15" t="n">
        <f aca="false">L146*Asumsi!$F$78</f>
        <v>140.271695055611</v>
      </c>
      <c r="M147" s="15" t="n">
        <f aca="false">M146*Asumsi!$F$78</f>
        <v>163.794331778445</v>
      </c>
      <c r="N147" s="15" t="n">
        <f aca="false">N146*Asumsi!$F$78</f>
        <v>189.938983908534</v>
      </c>
      <c r="O147" s="15" t="n">
        <f aca="false">O146*Asumsi!$F$78</f>
        <v>219.026314324733</v>
      </c>
      <c r="P147" s="15" t="n">
        <f aca="false">P146*Asumsi!$F$78</f>
        <v>251.415284820461</v>
      </c>
      <c r="Q147" s="15" t="n">
        <f aca="false">Q146*Asumsi!$F$78</f>
        <v>287.507757392373</v>
      </c>
      <c r="R147" s="15" t="n">
        <f aca="false">R146*Asumsi!$F$78</f>
        <v>327.753647521111</v>
      </c>
      <c r="S147" s="15" t="n">
        <f aca="false">S146*Asumsi!$F$78</f>
        <v>372.656695688048</v>
      </c>
      <c r="T147" s="15" t="n">
        <f aca="false">T146*Asumsi!$F$78</f>
        <v>422.780931321086</v>
      </c>
      <c r="U147" s="15" t="n">
        <f aca="false">U146*Asumsi!$F$78</f>
        <v>478.757912265574</v>
      </c>
      <c r="V147" s="15" t="n">
        <f aca="false">V146*Asumsi!$F$78</f>
        <v>541.294832847821</v>
      </c>
      <c r="W147" s="15" t="n">
        <f aca="false">W146*Asumsi!$F$78</f>
        <v>611.183604766627</v>
      </c>
      <c r="X147" s="15" t="n">
        <f aca="false">X146*Asumsi!$F$78</f>
        <v>689.311027556378</v>
      </c>
      <c r="Y147" s="15" t="n">
        <f aca="false">Y146*Asumsi!$F$78</f>
        <v>776.670179374366</v>
      </c>
      <c r="Z147" s="15" t="n">
        <f aca="false">Z146*Asumsi!$F$78</f>
        <v>874.373174555176</v>
      </c>
      <c r="AA147" s="15" t="n">
        <f aca="false">AA146*Asumsi!$F$78</f>
        <v>983.665451948007</v>
      </c>
      <c r="AB147" s="63" t="n">
        <f aca="false">O147</f>
        <v>219.026314324733</v>
      </c>
      <c r="AC147" s="63" t="n">
        <f aca="false">AA147</f>
        <v>983.665451948007</v>
      </c>
      <c r="AD147" s="63" t="n">
        <f aca="false">AA147</f>
        <v>983.665451948007</v>
      </c>
    </row>
    <row r="148" customFormat="false" ht="15" hidden="false" customHeight="false" outlineLevel="0" collapsed="false">
      <c r="A148" s="4" t="s">
        <v>670</v>
      </c>
      <c r="B148" s="2" t="s">
        <v>310</v>
      </c>
      <c r="D148" s="9" t="n">
        <f aca="false">D147*Asumsi!$F$79</f>
        <v>71.04</v>
      </c>
      <c r="E148" s="9" t="n">
        <f aca="false">E147*Asumsi!$F$79</f>
        <v>113.7088</v>
      </c>
      <c r="F148" s="9" t="n">
        <f aca="false">F147*Asumsi!$F$79</f>
        <v>160.473536</v>
      </c>
      <c r="G148" s="9" t="n">
        <f aca="false">G147*Asumsi!$F$79</f>
        <v>211.85644992</v>
      </c>
      <c r="H148" s="9" t="n">
        <f aca="false">H147*Asumsi!$F$79</f>
        <v>268.4415308224</v>
      </c>
      <c r="I148" s="9" t="n">
        <f aca="false">I147*Asumsi!$F$79</f>
        <v>330.881952225728</v>
      </c>
      <c r="J148" s="9" t="n">
        <f aca="false">J147*Asumsi!$F$79</f>
        <v>399.908401066316</v>
      </c>
      <c r="K148" s="9" t="n">
        <f aca="false">K147*Asumsi!$F$79</f>
        <v>476.33840533057</v>
      </c>
      <c r="L148" s="9" t="n">
        <f aca="false">L147*Asumsi!$F$79</f>
        <v>561.086780222445</v>
      </c>
      <c r="M148" s="9" t="n">
        <f aca="false">M147*Asumsi!$F$79</f>
        <v>655.17732711378</v>
      </c>
      <c r="N148" s="9" t="n">
        <f aca="false">N147*Asumsi!$F$79</f>
        <v>759.755935634135</v>
      </c>
      <c r="O148" s="9" t="n">
        <f aca="false">O147*Asumsi!$F$79</f>
        <v>876.105257298931</v>
      </c>
      <c r="P148" s="9" t="n">
        <f aca="false">P147*Asumsi!$F$79</f>
        <v>1005.66113928184</v>
      </c>
      <c r="Q148" s="9" t="n">
        <f aca="false">Q147*Asumsi!$F$79</f>
        <v>1150.03102956949</v>
      </c>
      <c r="R148" s="9" t="n">
        <f aca="false">R147*Asumsi!$F$79</f>
        <v>1311.01459008444</v>
      </c>
      <c r="S148" s="9" t="n">
        <f aca="false">S147*Asumsi!$F$79</f>
        <v>1490.62678275219</v>
      </c>
      <c r="T148" s="9" t="n">
        <f aca="false">T147*Asumsi!$F$79</f>
        <v>1691.12372528434</v>
      </c>
      <c r="U148" s="9" t="n">
        <f aca="false">U147*Asumsi!$F$79</f>
        <v>1915.03164906229</v>
      </c>
      <c r="V148" s="9" t="n">
        <f aca="false">V147*Asumsi!$F$79</f>
        <v>2165.17933139128</v>
      </c>
      <c r="W148" s="9" t="n">
        <f aca="false">W147*Asumsi!$F$79</f>
        <v>2444.73441906651</v>
      </c>
      <c r="X148" s="9" t="n">
        <f aca="false">X147*Asumsi!$F$79</f>
        <v>2757.24411022551</v>
      </c>
      <c r="Y148" s="9" t="n">
        <f aca="false">Y147*Asumsi!$F$79</f>
        <v>3106.68071749746</v>
      </c>
      <c r="Z148" s="9" t="n">
        <f aca="false">Z147*Asumsi!$F$79</f>
        <v>3497.4926982207</v>
      </c>
      <c r="AA148" s="9" t="n">
        <f aca="false">AA147*Asumsi!$F$79</f>
        <v>3934.66180779203</v>
      </c>
      <c r="AB148" s="64" t="n">
        <f aca="false">SUM(D148:O148)</f>
        <v>4884.77437563431</v>
      </c>
      <c r="AC148" s="64" t="n">
        <f aca="false">SUM(P148:AA148)</f>
        <v>26469.4820002281</v>
      </c>
      <c r="AD148" s="64" t="n">
        <f aca="false">SUM(C148:AA148)</f>
        <v>31354.2563758624</v>
      </c>
    </row>
    <row r="149" customFormat="false" ht="15" hidden="false" customHeight="false" outlineLevel="0" collapsed="false">
      <c r="A149" s="7" t="s">
        <v>671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customFormat="false" ht="15" hidden="false" customHeight="false" outlineLevel="0" collapsed="false">
      <c r="A150" s="4" t="s">
        <v>672</v>
      </c>
      <c r="B150" s="2" t="s">
        <v>20</v>
      </c>
      <c r="D150" s="15" t="n">
        <f aca="false">Asumsi!$F$82*(1+Asumsi!$F$83)^(D$5-1)</f>
        <v>40</v>
      </c>
      <c r="E150" s="15" t="n">
        <f aca="false">Asumsi!$F$82*(1+Asumsi!$F$83)^(E$5-1)</f>
        <v>44.4</v>
      </c>
      <c r="F150" s="15" t="n">
        <f aca="false">Asumsi!$F$82*(1+Asumsi!$F$83)^(F$5-1)</f>
        <v>49.284</v>
      </c>
      <c r="G150" s="15" t="n">
        <f aca="false">Asumsi!$F$82*(1+Asumsi!$F$83)^(G$5-1)</f>
        <v>54.70524</v>
      </c>
      <c r="H150" s="15" t="n">
        <f aca="false">Asumsi!$F$82*(1+Asumsi!$F$83)^(H$5-1)</f>
        <v>60.7228164</v>
      </c>
      <c r="I150" s="15" t="n">
        <f aca="false">Asumsi!$F$82*(1+Asumsi!$F$83)^(I$5-1)</f>
        <v>67.402326204</v>
      </c>
      <c r="J150" s="15" t="n">
        <f aca="false">Asumsi!$F$82*(1+Asumsi!$F$83)^(J$5-1)</f>
        <v>74.81658208644</v>
      </c>
      <c r="K150" s="15" t="n">
        <f aca="false">Asumsi!$F$82*(1+Asumsi!$F$83)^(K$5-1)</f>
        <v>83.0464061159485</v>
      </c>
      <c r="L150" s="15" t="n">
        <f aca="false">Asumsi!$F$82*(1+Asumsi!$F$83)^(L$5-1)</f>
        <v>92.1815107887028</v>
      </c>
      <c r="M150" s="15" t="n">
        <f aca="false">Asumsi!$F$82*(1+Asumsi!$F$83)^(M$5-1)</f>
        <v>102.32147697546</v>
      </c>
      <c r="N150" s="15" t="n">
        <f aca="false">Asumsi!$F$82*(1+Asumsi!$F$83)^(N$5-1)</f>
        <v>113.576839442761</v>
      </c>
      <c r="O150" s="15" t="n">
        <f aca="false">Asumsi!$F$82*(1+Asumsi!$F$83)^(O$5-1)</f>
        <v>126.070291781464</v>
      </c>
      <c r="P150" s="15" t="n">
        <f aca="false">Asumsi!$F$82*(1+Asumsi!$F$83)^(P$5-1)</f>
        <v>139.938023877426</v>
      </c>
      <c r="Q150" s="15" t="n">
        <f aca="false">Asumsi!$F$82*(1+Asumsi!$F$83)^(Q$5-1)</f>
        <v>155.331206503942</v>
      </c>
      <c r="R150" s="15" t="n">
        <f aca="false">Asumsi!$F$82*(1+Asumsi!$F$83)^(R$5-1)</f>
        <v>172.417639219376</v>
      </c>
      <c r="S150" s="15" t="n">
        <f aca="false">Asumsi!$F$82*(1+Asumsi!$F$83)^(S$5-1)</f>
        <v>191.383579533507</v>
      </c>
      <c r="T150" s="15" t="n">
        <f aca="false">Asumsi!$F$82*(1+Asumsi!$F$83)^(T$5-1)</f>
        <v>212.435773282193</v>
      </c>
      <c r="U150" s="15" t="n">
        <f aca="false">Asumsi!$F$82*(1+Asumsi!$F$83)^(U$5-1)</f>
        <v>235.803708343235</v>
      </c>
      <c r="V150" s="15" t="n">
        <f aca="false">Asumsi!$F$82*(1+Asumsi!$F$83)^(V$5-1)</f>
        <v>261.74211626099</v>
      </c>
      <c r="W150" s="15" t="n">
        <f aca="false">Asumsi!$F$82*(1+Asumsi!$F$83)^(W$5-1)</f>
        <v>290.533749049699</v>
      </c>
      <c r="X150" s="15" t="n">
        <f aca="false">Asumsi!$F$82*(1+Asumsi!$F$83)^(X$5-1)</f>
        <v>322.492461445166</v>
      </c>
      <c r="Y150" s="15" t="n">
        <f aca="false">Asumsi!$F$82*(1+Asumsi!$F$83)^(Y$5-1)</f>
        <v>357.966632204135</v>
      </c>
      <c r="Z150" s="15" t="n">
        <f aca="false">Asumsi!$F$82*(1+Asumsi!$F$83)^(Z$5-1)</f>
        <v>397.342961746589</v>
      </c>
      <c r="AA150" s="15" t="n">
        <f aca="false">Asumsi!$F$82*(1+Asumsi!$F$83)^(AA$5-1)</f>
        <v>441.050687538714</v>
      </c>
      <c r="AB150" s="63" t="n">
        <f aca="false">SUM(D150:O150)</f>
        <v>908.527489794777</v>
      </c>
      <c r="AC150" s="63" t="n">
        <f aca="false">SUM(P150:AA150)</f>
        <v>3178.43853900497</v>
      </c>
      <c r="AD150" s="63" t="n">
        <f aca="false">SUM(C150:AA150)</f>
        <v>4086.96602879975</v>
      </c>
    </row>
    <row r="151" customFormat="false" ht="15" hidden="false" customHeight="false" outlineLevel="0" collapsed="false">
      <c r="A151" s="4" t="s">
        <v>673</v>
      </c>
      <c r="B151" s="2" t="s">
        <v>46</v>
      </c>
      <c r="D151" s="9" t="n">
        <f aca="false">IF(D$5&lt;=3,Asumsi!$F$84,IF(D$5&lt;=12,Asumsi!$F$85,Asumsi!$F$86))</f>
        <v>5000000</v>
      </c>
      <c r="E151" s="9" t="n">
        <f aca="false">IF(E$5&lt;=3,Asumsi!$F$84,IF(E$5&lt;=12,Asumsi!$F$85,Asumsi!$F$86))</f>
        <v>5000000</v>
      </c>
      <c r="F151" s="9" t="n">
        <f aca="false">IF(F$5&lt;=3,Asumsi!$F$84,IF(F$5&lt;=12,Asumsi!$F$85,Asumsi!$F$86))</f>
        <v>5000000</v>
      </c>
      <c r="G151" s="9" t="n">
        <f aca="false">IF(G$5&lt;=3,Asumsi!$F$84,IF(G$5&lt;=12,Asumsi!$F$85,Asumsi!$F$86))</f>
        <v>25000000</v>
      </c>
      <c r="H151" s="9" t="n">
        <f aca="false">IF(H$5&lt;=3,Asumsi!$F$84,IF(H$5&lt;=12,Asumsi!$F$85,Asumsi!$F$86))</f>
        <v>25000000</v>
      </c>
      <c r="I151" s="9" t="n">
        <f aca="false">IF(I$5&lt;=3,Asumsi!$F$84,IF(I$5&lt;=12,Asumsi!$F$85,Asumsi!$F$86))</f>
        <v>25000000</v>
      </c>
      <c r="J151" s="9" t="n">
        <f aca="false">IF(J$5&lt;=3,Asumsi!$F$84,IF(J$5&lt;=12,Asumsi!$F$85,Asumsi!$F$86))</f>
        <v>25000000</v>
      </c>
      <c r="K151" s="9" t="n">
        <f aca="false">IF(K$5&lt;=3,Asumsi!$F$84,IF(K$5&lt;=12,Asumsi!$F$85,Asumsi!$F$86))</f>
        <v>25000000</v>
      </c>
      <c r="L151" s="9" t="n">
        <f aca="false">IF(L$5&lt;=3,Asumsi!$F$84,IF(L$5&lt;=12,Asumsi!$F$85,Asumsi!$F$86))</f>
        <v>25000000</v>
      </c>
      <c r="M151" s="9" t="n">
        <f aca="false">IF(M$5&lt;=3,Asumsi!$F$84,IF(M$5&lt;=12,Asumsi!$F$85,Asumsi!$F$86))</f>
        <v>25000000</v>
      </c>
      <c r="N151" s="9" t="n">
        <f aca="false">IF(N$5&lt;=3,Asumsi!$F$84,IF(N$5&lt;=12,Asumsi!$F$85,Asumsi!$F$86))</f>
        <v>25000000</v>
      </c>
      <c r="O151" s="9" t="n">
        <f aca="false">IF(O$5&lt;=3,Asumsi!$F$84,IF(O$5&lt;=12,Asumsi!$F$85,Asumsi!$F$86))</f>
        <v>25000000</v>
      </c>
      <c r="P151" s="9" t="n">
        <f aca="false">IF(P$5&lt;=3,Asumsi!$F$84,IF(P$5&lt;=12,Asumsi!$F$85,Asumsi!$F$86))</f>
        <v>35000000</v>
      </c>
      <c r="Q151" s="9" t="n">
        <f aca="false">IF(Q$5&lt;=3,Asumsi!$F$84,IF(Q$5&lt;=12,Asumsi!$F$85,Asumsi!$F$86))</f>
        <v>35000000</v>
      </c>
      <c r="R151" s="9" t="n">
        <f aca="false">IF(R$5&lt;=3,Asumsi!$F$84,IF(R$5&lt;=12,Asumsi!$F$85,Asumsi!$F$86))</f>
        <v>35000000</v>
      </c>
      <c r="S151" s="9" t="n">
        <f aca="false">IF(S$5&lt;=3,Asumsi!$F$84,IF(S$5&lt;=12,Asumsi!$F$85,Asumsi!$F$86))</f>
        <v>35000000</v>
      </c>
      <c r="T151" s="9" t="n">
        <f aca="false">IF(T$5&lt;=3,Asumsi!$F$84,IF(T$5&lt;=12,Asumsi!$F$85,Asumsi!$F$86))</f>
        <v>35000000</v>
      </c>
      <c r="U151" s="9" t="n">
        <f aca="false">IF(U$5&lt;=3,Asumsi!$F$84,IF(U$5&lt;=12,Asumsi!$F$85,Asumsi!$F$86))</f>
        <v>35000000</v>
      </c>
      <c r="V151" s="9" t="n">
        <f aca="false">IF(V$5&lt;=3,Asumsi!$F$84,IF(V$5&lt;=12,Asumsi!$F$85,Asumsi!$F$86))</f>
        <v>35000000</v>
      </c>
      <c r="W151" s="9" t="n">
        <f aca="false">IF(W$5&lt;=3,Asumsi!$F$84,IF(W$5&lt;=12,Asumsi!$F$85,Asumsi!$F$86))</f>
        <v>35000000</v>
      </c>
      <c r="X151" s="9" t="n">
        <f aca="false">IF(X$5&lt;=3,Asumsi!$F$84,IF(X$5&lt;=12,Asumsi!$F$85,Asumsi!$F$86))</f>
        <v>35000000</v>
      </c>
      <c r="Y151" s="9" t="n">
        <f aca="false">IF(Y$5&lt;=3,Asumsi!$F$84,IF(Y$5&lt;=12,Asumsi!$F$85,Asumsi!$F$86))</f>
        <v>35000000</v>
      </c>
      <c r="Z151" s="9" t="n">
        <f aca="false">IF(Z$5&lt;=3,Asumsi!$F$84,IF(Z$5&lt;=12,Asumsi!$F$85,Asumsi!$F$86))</f>
        <v>35000000</v>
      </c>
      <c r="AA151" s="9" t="n">
        <f aca="false">IF(AA$5&lt;=3,Asumsi!$F$84,IF(AA$5&lt;=12,Asumsi!$F$85,Asumsi!$F$86))</f>
        <v>35000000</v>
      </c>
      <c r="AB151" s="64" t="n">
        <f aca="false">SUM(D151:O151)</f>
        <v>240000000</v>
      </c>
      <c r="AC151" s="64" t="n">
        <f aca="false">SUM(P151:AA151)</f>
        <v>420000000</v>
      </c>
      <c r="AD151" s="64" t="n">
        <f aca="false">SUM(C151:AA151)</f>
        <v>660000000</v>
      </c>
    </row>
    <row r="152" customFormat="false" ht="15" hidden="false" customHeight="false" outlineLevel="0" collapsed="false">
      <c r="A152" s="4" t="s">
        <v>674</v>
      </c>
      <c r="B152" s="2" t="s">
        <v>20</v>
      </c>
      <c r="D152" s="15" t="n">
        <f aca="false">IF(Asumsi!$F$87&gt;0,D151/Asumsi!$F$87,0)</f>
        <v>27.7777777777778</v>
      </c>
      <c r="E152" s="15" t="n">
        <f aca="false">IF(Asumsi!$F$87&gt;0,E151/Asumsi!$F$87,0)</f>
        <v>27.7777777777778</v>
      </c>
      <c r="F152" s="15" t="n">
        <f aca="false">IF(Asumsi!$F$87&gt;0,F151/Asumsi!$F$87,0)</f>
        <v>27.7777777777778</v>
      </c>
      <c r="G152" s="15" t="n">
        <f aca="false">IF(Asumsi!$F$87&gt;0,G151/Asumsi!$F$87,0)</f>
        <v>138.888888888889</v>
      </c>
      <c r="H152" s="15" t="n">
        <f aca="false">IF(Asumsi!$F$87&gt;0,H151/Asumsi!$F$87,0)</f>
        <v>138.888888888889</v>
      </c>
      <c r="I152" s="15" t="n">
        <f aca="false">IF(Asumsi!$F$87&gt;0,I151/Asumsi!$F$87,0)</f>
        <v>138.888888888889</v>
      </c>
      <c r="J152" s="15" t="n">
        <f aca="false">IF(Asumsi!$F$87&gt;0,J151/Asumsi!$F$87,0)</f>
        <v>138.888888888889</v>
      </c>
      <c r="K152" s="15" t="n">
        <f aca="false">IF(Asumsi!$F$87&gt;0,K151/Asumsi!$F$87,0)</f>
        <v>138.888888888889</v>
      </c>
      <c r="L152" s="15" t="n">
        <f aca="false">IF(Asumsi!$F$87&gt;0,L151/Asumsi!$F$87,0)</f>
        <v>138.888888888889</v>
      </c>
      <c r="M152" s="15" t="n">
        <f aca="false">IF(Asumsi!$F$87&gt;0,M151/Asumsi!$F$87,0)</f>
        <v>138.888888888889</v>
      </c>
      <c r="N152" s="15" t="n">
        <f aca="false">IF(Asumsi!$F$87&gt;0,N151/Asumsi!$F$87,0)</f>
        <v>138.888888888889</v>
      </c>
      <c r="O152" s="15" t="n">
        <f aca="false">IF(Asumsi!$F$87&gt;0,O151/Asumsi!$F$87,0)</f>
        <v>138.888888888889</v>
      </c>
      <c r="P152" s="15" t="n">
        <f aca="false">IF(Asumsi!$F$87&gt;0,P151/Asumsi!$F$87,0)</f>
        <v>194.444444444444</v>
      </c>
      <c r="Q152" s="15" t="n">
        <f aca="false">IF(Asumsi!$F$87&gt;0,Q151/Asumsi!$F$87,0)</f>
        <v>194.444444444444</v>
      </c>
      <c r="R152" s="15" t="n">
        <f aca="false">IF(Asumsi!$F$87&gt;0,R151/Asumsi!$F$87,0)</f>
        <v>194.444444444444</v>
      </c>
      <c r="S152" s="15" t="n">
        <f aca="false">IF(Asumsi!$F$87&gt;0,S151/Asumsi!$F$87,0)</f>
        <v>194.444444444444</v>
      </c>
      <c r="T152" s="15" t="n">
        <f aca="false">IF(Asumsi!$F$87&gt;0,T151/Asumsi!$F$87,0)</f>
        <v>194.444444444444</v>
      </c>
      <c r="U152" s="15" t="n">
        <f aca="false">IF(Asumsi!$F$87&gt;0,U151/Asumsi!$F$87,0)</f>
        <v>194.444444444444</v>
      </c>
      <c r="V152" s="15" t="n">
        <f aca="false">IF(Asumsi!$F$87&gt;0,V151/Asumsi!$F$87,0)</f>
        <v>194.444444444444</v>
      </c>
      <c r="W152" s="15" t="n">
        <f aca="false">IF(Asumsi!$F$87&gt;0,W151/Asumsi!$F$87,0)</f>
        <v>194.444444444444</v>
      </c>
      <c r="X152" s="15" t="n">
        <f aca="false">IF(Asumsi!$F$87&gt;0,X151/Asumsi!$F$87,0)</f>
        <v>194.444444444444</v>
      </c>
      <c r="Y152" s="15" t="n">
        <f aca="false">IF(Asumsi!$F$87&gt;0,Y151/Asumsi!$F$87,0)</f>
        <v>194.444444444444</v>
      </c>
      <c r="Z152" s="15" t="n">
        <f aca="false">IF(Asumsi!$F$87&gt;0,Z151/Asumsi!$F$87,0)</f>
        <v>194.444444444444</v>
      </c>
      <c r="AA152" s="15" t="n">
        <f aca="false">IF(Asumsi!$F$87&gt;0,AA151/Asumsi!$F$87,0)</f>
        <v>194.444444444444</v>
      </c>
      <c r="AB152" s="63" t="n">
        <f aca="false">SUM(D152:O152)</f>
        <v>1333.33333333333</v>
      </c>
      <c r="AC152" s="63" t="n">
        <f aca="false">SUM(P152:AA152)</f>
        <v>2333.33333333333</v>
      </c>
      <c r="AD152" s="63" t="n">
        <f aca="false">SUM(C152:AA152)</f>
        <v>3666.66666666667</v>
      </c>
    </row>
    <row r="153" customFormat="false" ht="15" hidden="false" customHeight="false" outlineLevel="0" collapsed="false">
      <c r="A153" s="4" t="s">
        <v>675</v>
      </c>
      <c r="B153" s="2" t="s">
        <v>20</v>
      </c>
      <c r="D153" s="15" t="n">
        <f aca="false">C162*(1-Asumsi!$F$88)</f>
        <v>47</v>
      </c>
      <c r="E153" s="15" t="n">
        <f aca="false">D162*(1-Asumsi!$F$88)</f>
        <v>105.940124292999</v>
      </c>
      <c r="F153" s="15" t="n">
        <f aca="false">E162*(1-Asumsi!$F$88)</f>
        <v>170.91625803577</v>
      </c>
      <c r="G153" s="15" t="n">
        <f aca="false">F162*(1-Asumsi!$F$88)</f>
        <v>238.722498554112</v>
      </c>
      <c r="H153" s="15" t="n">
        <f aca="false">G162*(1-Asumsi!$F$88)</f>
        <v>398.804641210289</v>
      </c>
      <c r="I153" s="15" t="n">
        <f aca="false">H162*(1-Asumsi!$F$88)</f>
        <v>575.632038405046</v>
      </c>
      <c r="J153" s="15" t="n">
        <f aca="false">I162*(1-Asumsi!$F$88)</f>
        <v>753.946152351585</v>
      </c>
      <c r="K153" s="15" t="n">
        <f aca="false">J162*(1-Asumsi!$F$88)</f>
        <v>934.397354339666</v>
      </c>
      <c r="L153" s="15" t="n">
        <f aca="false">K162*(1-Asumsi!$F$88)</f>
        <v>1117.69436334161</v>
      </c>
      <c r="M153" s="15" t="n">
        <f aca="false">L162*(1-Asumsi!$F$88)</f>
        <v>1304.61102179199</v>
      </c>
      <c r="N153" s="15" t="n">
        <f aca="false">M162*(1-Asumsi!$F$88)</f>
        <v>1495.99380701391</v>
      </c>
      <c r="O153" s="15" t="n">
        <f aca="false">N162*(1-Asumsi!$F$88)</f>
        <v>1692.77015947559</v>
      </c>
      <c r="P153" s="15" t="n">
        <f aca="false">O162*(1-Asumsi!$F$88)</f>
        <v>1895.95771798393</v>
      </c>
      <c r="Q153" s="15" t="n">
        <f aca="false">P162*(1-Asumsi!$F$88)</f>
        <v>2158.89678404912</v>
      </c>
      <c r="R153" s="15" t="n">
        <f aca="false">Q162*(1-Asumsi!$F$88)</f>
        <v>2429.17979309287</v>
      </c>
      <c r="S153" s="15" t="n">
        <f aca="false">R162*(1-Asumsi!$F$88)</f>
        <v>2708.19937934405</v>
      </c>
      <c r="T153" s="15" t="n">
        <f aca="false">S162*(1-Asumsi!$F$88)</f>
        <v>2997.4855187031</v>
      </c>
      <c r="U153" s="15" t="n">
        <f aca="false">T162*(1-Asumsi!$F$88)</f>
        <v>3298.72106580929</v>
      </c>
      <c r="V153" s="15" t="n">
        <f aca="false">U162*(1-Asumsi!$F$88)</f>
        <v>3613.75898854627</v>
      </c>
      <c r="W153" s="15" t="n">
        <f aca="false">V162*(1-Asumsi!$F$88)</f>
        <v>3944.64148701978</v>
      </c>
      <c r="X153" s="15" t="n">
        <f aca="false">W162*(1-Asumsi!$F$88)</f>
        <v>4293.62120460604</v>
      </c>
      <c r="Y153" s="15" t="n">
        <f aca="false">X162*(1-Asumsi!$F$88)</f>
        <v>4663.18476149745</v>
      </c>
      <c r="Z153" s="15" t="n">
        <f aca="false">Y162*(1-Asumsi!$F$88)</f>
        <v>5056.07886651053</v>
      </c>
      <c r="AA153" s="15" t="n">
        <f aca="false">Z162*(1-Asumsi!$F$88)</f>
        <v>5475.33929104766</v>
      </c>
    </row>
    <row r="154" customFormat="false" ht="15" hidden="false" customHeight="false" outlineLevel="0" collapsed="false">
      <c r="A154" s="4" t="s">
        <v>676</v>
      </c>
      <c r="B154" s="2" t="s">
        <v>20</v>
      </c>
      <c r="D154" s="15" t="n">
        <f aca="false">D153*Asumsi!$F$95</f>
        <v>1.645</v>
      </c>
      <c r="E154" s="15" t="n">
        <f aca="false">E153*Asumsi!$F$95</f>
        <v>3.70790435025497</v>
      </c>
      <c r="F154" s="15" t="n">
        <f aca="false">F153*Asumsi!$F$95</f>
        <v>5.98206903125195</v>
      </c>
      <c r="G154" s="15" t="n">
        <f aca="false">G153*Asumsi!$F$95</f>
        <v>8.35528744939391</v>
      </c>
      <c r="H154" s="15" t="n">
        <f aca="false">H153*Asumsi!$F$95</f>
        <v>13.9581624423601</v>
      </c>
      <c r="I154" s="15" t="n">
        <f aca="false">I153*Asumsi!$F$95</f>
        <v>20.1471213441766</v>
      </c>
      <c r="J154" s="15" t="n">
        <f aca="false">J153*Asumsi!$F$95</f>
        <v>26.3881153323055</v>
      </c>
      <c r="K154" s="15" t="n">
        <f aca="false">K153*Asumsi!$F$95</f>
        <v>32.7039074018883</v>
      </c>
      <c r="L154" s="15" t="n">
        <f aca="false">L153*Asumsi!$F$95</f>
        <v>39.1193027169563</v>
      </c>
      <c r="M154" s="15" t="n">
        <f aca="false">M153*Asumsi!$F$95</f>
        <v>45.6613857627195</v>
      </c>
      <c r="N154" s="15" t="n">
        <f aca="false">N153*Asumsi!$F$95</f>
        <v>52.3597832454869</v>
      </c>
      <c r="O154" s="15" t="n">
        <f aca="false">O153*Asumsi!$F$95</f>
        <v>59.2469555816455</v>
      </c>
      <c r="P154" s="15" t="n">
        <f aca="false">P153*Asumsi!$F$95</f>
        <v>66.3585201294375</v>
      </c>
      <c r="Q154" s="15" t="n">
        <f aca="false">Q153*Asumsi!$F$95</f>
        <v>75.5613874417193</v>
      </c>
      <c r="R154" s="15" t="n">
        <f aca="false">R153*Asumsi!$F$95</f>
        <v>85.0212927582506</v>
      </c>
      <c r="S154" s="15" t="n">
        <f aca="false">S153*Asumsi!$F$95</f>
        <v>94.7869782770417</v>
      </c>
      <c r="T154" s="15" t="n">
        <f aca="false">T153*Asumsi!$F$95</f>
        <v>104.911993154609</v>
      </c>
      <c r="U154" s="15" t="n">
        <f aca="false">U153*Asumsi!$F$95</f>
        <v>115.455237303325</v>
      </c>
      <c r="V154" s="15" t="n">
        <f aca="false">V153*Asumsi!$F$95</f>
        <v>126.48156459912</v>
      </c>
      <c r="W154" s="15" t="n">
        <f aca="false">W153*Asumsi!$F$95</f>
        <v>138.062452045692</v>
      </c>
      <c r="X154" s="15" t="n">
        <f aca="false">X153*Asumsi!$F$95</f>
        <v>150.276742161211</v>
      </c>
      <c r="Y154" s="15" t="n">
        <f aca="false">Y153*Asumsi!$F$95</f>
        <v>163.211466652411</v>
      </c>
      <c r="Z154" s="15" t="n">
        <f aca="false">Z153*Asumsi!$F$95</f>
        <v>176.962760327869</v>
      </c>
      <c r="AA154" s="15" t="n">
        <f aca="false">AA153*Asumsi!$F$95</f>
        <v>191.636875186668</v>
      </c>
      <c r="AB154" s="63" t="n">
        <f aca="false">SUM(D154:O154)</f>
        <v>309.27499465844</v>
      </c>
      <c r="AC154" s="63" t="n">
        <f aca="false">SUM(P154:AA154)</f>
        <v>1488.72727003735</v>
      </c>
      <c r="AD154" s="63" t="n">
        <f aca="false">SUM(C154:AA154)</f>
        <v>1798.00226469579</v>
      </c>
    </row>
    <row r="155" customFormat="false" ht="15" hidden="false" customHeight="false" outlineLevel="0" collapsed="false">
      <c r="A155" s="4" t="s">
        <v>677</v>
      </c>
      <c r="B155" s="2" t="s">
        <v>46</v>
      </c>
      <c r="D155" s="9" t="n">
        <f aca="false">D154*Asumsi!$F$96*(MIN(Asumsi!$F$91,Asumsi!$F$94/Asumsi!$F$98)+Asumsi!$F$92)*Asumsi!$F$97</f>
        <v>46060</v>
      </c>
      <c r="E155" s="9" t="n">
        <f aca="false">E154*Asumsi!$F$96*(MIN(Asumsi!$F$91,Asumsi!$F$94/Asumsi!$F$98)+Asumsi!$F$92)*Asumsi!$F$97</f>
        <v>103821.321807139</v>
      </c>
      <c r="F155" s="9" t="n">
        <f aca="false">F154*Asumsi!$F$96*(MIN(Asumsi!$F$91,Asumsi!$F$94/Asumsi!$F$98)+Asumsi!$F$92)*Asumsi!$F$97</f>
        <v>167497.932875055</v>
      </c>
      <c r="G155" s="9" t="n">
        <f aca="false">G154*Asumsi!$F$96*(MIN(Asumsi!$F$91,Asumsi!$F$94/Asumsi!$F$98)+Asumsi!$F$92)*Asumsi!$F$97</f>
        <v>233948.04858303</v>
      </c>
      <c r="H155" s="9" t="n">
        <f aca="false">H154*Asumsi!$F$96*(MIN(Asumsi!$F$91,Asumsi!$F$94/Asumsi!$F$98)+Asumsi!$F$92)*Asumsi!$F$97</f>
        <v>390828.548386083</v>
      </c>
      <c r="I155" s="9" t="n">
        <f aca="false">I154*Asumsi!$F$96*(MIN(Asumsi!$F$91,Asumsi!$F$94/Asumsi!$F$98)+Asumsi!$F$92)*Asumsi!$F$97</f>
        <v>564119.397636945</v>
      </c>
      <c r="J155" s="9" t="n">
        <f aca="false">J154*Asumsi!$F$96*(MIN(Asumsi!$F$91,Asumsi!$F$94/Asumsi!$F$98)+Asumsi!$F$92)*Asumsi!$F$97</f>
        <v>738867.229304553</v>
      </c>
      <c r="K155" s="9" t="n">
        <f aca="false">K154*Asumsi!$F$96*(MIN(Asumsi!$F$91,Asumsi!$F$94/Asumsi!$F$98)+Asumsi!$F$92)*Asumsi!$F$97</f>
        <v>915709.407252873</v>
      </c>
      <c r="L155" s="9" t="n">
        <f aca="false">L154*Asumsi!$F$96*(MIN(Asumsi!$F$91,Asumsi!$F$94/Asumsi!$F$98)+Asumsi!$F$92)*Asumsi!$F$97</f>
        <v>1095340.47607478</v>
      </c>
      <c r="M155" s="9" t="n">
        <f aca="false">M154*Asumsi!$F$96*(MIN(Asumsi!$F$91,Asumsi!$F$94/Asumsi!$F$98)+Asumsi!$F$92)*Asumsi!$F$97</f>
        <v>1278518.80135615</v>
      </c>
      <c r="N155" s="9" t="n">
        <f aca="false">N154*Asumsi!$F$96*(MIN(Asumsi!$F$91,Asumsi!$F$94/Asumsi!$F$98)+Asumsi!$F$92)*Asumsi!$F$97</f>
        <v>1466073.93087363</v>
      </c>
      <c r="O155" s="9" t="n">
        <f aca="false">O154*Asumsi!$F$96*(MIN(Asumsi!$F$91,Asumsi!$F$94/Asumsi!$F$98)+Asumsi!$F$92)*Asumsi!$F$97</f>
        <v>1658914.75628607</v>
      </c>
      <c r="P155" s="9" t="n">
        <f aca="false">P154*Asumsi!$F$96*(MIN(Asumsi!$F$91,Asumsi!$F$94/Asumsi!$F$98)+Asumsi!$F$92)*Asumsi!$F$97</f>
        <v>1858038.56362425</v>
      </c>
      <c r="Q155" s="9" t="n">
        <f aca="false">Q154*Asumsi!$F$96*(MIN(Asumsi!$F$91,Asumsi!$F$94/Asumsi!$F$98)+Asumsi!$F$92)*Asumsi!$F$97</f>
        <v>2115718.84836814</v>
      </c>
      <c r="R155" s="9" t="n">
        <f aca="false">R154*Asumsi!$F$96*(MIN(Asumsi!$F$91,Asumsi!$F$94/Asumsi!$F$98)+Asumsi!$F$92)*Asumsi!$F$97</f>
        <v>2380596.19723102</v>
      </c>
      <c r="S155" s="9" t="n">
        <f aca="false">S154*Asumsi!$F$96*(MIN(Asumsi!$F$91,Asumsi!$F$94/Asumsi!$F$98)+Asumsi!$F$92)*Asumsi!$F$97</f>
        <v>2654035.39175717</v>
      </c>
      <c r="T155" s="9" t="n">
        <f aca="false">T154*Asumsi!$F$96*(MIN(Asumsi!$F$91,Asumsi!$F$94/Asumsi!$F$98)+Asumsi!$F$92)*Asumsi!$F$97</f>
        <v>2937535.80832904</v>
      </c>
      <c r="U155" s="9" t="n">
        <f aca="false">U154*Asumsi!$F$96*(MIN(Asumsi!$F$91,Asumsi!$F$94/Asumsi!$F$98)+Asumsi!$F$92)*Asumsi!$F$97</f>
        <v>3232746.6444931</v>
      </c>
      <c r="V155" s="9" t="n">
        <f aca="false">V154*Asumsi!$F$96*(MIN(Asumsi!$F$91,Asumsi!$F$94/Asumsi!$F$98)+Asumsi!$F$92)*Asumsi!$F$97</f>
        <v>3541483.80877535</v>
      </c>
      <c r="W155" s="9" t="n">
        <f aca="false">W154*Asumsi!$F$96*(MIN(Asumsi!$F$91,Asumsi!$F$94/Asumsi!$F$98)+Asumsi!$F$92)*Asumsi!$F$97</f>
        <v>3865748.65727938</v>
      </c>
      <c r="X155" s="9" t="n">
        <f aca="false">X154*Asumsi!$F$96*(MIN(Asumsi!$F$91,Asumsi!$F$94/Asumsi!$F$98)+Asumsi!$F$92)*Asumsi!$F$97</f>
        <v>4207748.78051392</v>
      </c>
      <c r="Y155" s="9" t="n">
        <f aca="false">Y154*Asumsi!$F$96*(MIN(Asumsi!$F$91,Asumsi!$F$94/Asumsi!$F$98)+Asumsi!$F$92)*Asumsi!$F$97</f>
        <v>4569921.0662675</v>
      </c>
      <c r="Z155" s="9" t="n">
        <f aca="false">Z154*Asumsi!$F$96*(MIN(Asumsi!$F$91,Asumsi!$F$94/Asumsi!$F$98)+Asumsi!$F$92)*Asumsi!$F$97</f>
        <v>4954957.28918032</v>
      </c>
      <c r="AA155" s="9" t="n">
        <f aca="false">AA154*Asumsi!$F$96*(MIN(Asumsi!$F$91,Asumsi!$F$94/Asumsi!$F$98)+Asumsi!$F$92)*Asumsi!$F$97</f>
        <v>5365832.50522671</v>
      </c>
      <c r="AB155" s="64" t="n">
        <f aca="false">SUM(D155:O155)</f>
        <v>8659699.85043631</v>
      </c>
      <c r="AC155" s="64" t="n">
        <f aca="false">SUM(P155:AA155)</f>
        <v>41684363.5610459</v>
      </c>
      <c r="AD155" s="64" t="n">
        <f aca="false">SUM(C155:AA155)</f>
        <v>50344063.4114822</v>
      </c>
    </row>
    <row r="156" customFormat="false" ht="15" hidden="false" customHeight="false" outlineLevel="0" collapsed="false">
      <c r="A156" s="4" t="s">
        <v>678</v>
      </c>
      <c r="B156" s="2" t="s">
        <v>147</v>
      </c>
      <c r="D156" s="57" t="n">
        <f aca="false">IF(AND(Asumsi!$F$103=1,D155&gt;0),MIN(1,Asumsi!$F$104/D155),1)</f>
        <v>1</v>
      </c>
      <c r="E156" s="57" t="n">
        <f aca="false">IF(AND(Asumsi!$F$103=1,E155&gt;0),MIN(1,Asumsi!$F$104/E155),1)</f>
        <v>1</v>
      </c>
      <c r="F156" s="57" t="n">
        <f aca="false">IF(AND(Asumsi!$F$103=1,F155&gt;0),MIN(1,Asumsi!$F$104/F155),1)</f>
        <v>1</v>
      </c>
      <c r="G156" s="57" t="n">
        <f aca="false">IF(AND(Asumsi!$F$103=1,G155&gt;0),MIN(1,Asumsi!$F$104/G155),1)</f>
        <v>1</v>
      </c>
      <c r="H156" s="57" t="n">
        <f aca="false">IF(AND(Asumsi!$F$103=1,H155&gt;0),MIN(1,Asumsi!$F$104/H155),1)</f>
        <v>1</v>
      </c>
      <c r="I156" s="57" t="n">
        <f aca="false">IF(AND(Asumsi!$F$103=1,I155&gt;0),MIN(1,Asumsi!$F$104/I155),1)</f>
        <v>1</v>
      </c>
      <c r="J156" s="57" t="n">
        <f aca="false">IF(AND(Asumsi!$F$103=1,J155&gt;0),MIN(1,Asumsi!$F$104/J155),1)</f>
        <v>1</v>
      </c>
      <c r="K156" s="57" t="n">
        <f aca="false">IF(AND(Asumsi!$F$103=1,K155&gt;0),MIN(1,Asumsi!$F$104/K155),1)</f>
        <v>1</v>
      </c>
      <c r="L156" s="57" t="n">
        <f aca="false">IF(AND(Asumsi!$F$103=1,L155&gt;0),MIN(1,Asumsi!$F$104/L155),1)</f>
        <v>1</v>
      </c>
      <c r="M156" s="57" t="n">
        <f aca="false">IF(AND(Asumsi!$F$103=1,M155&gt;0),MIN(1,Asumsi!$F$104/M155),1)</f>
        <v>1</v>
      </c>
      <c r="N156" s="57" t="n">
        <f aca="false">IF(AND(Asumsi!$F$103=1,N155&gt;0),MIN(1,Asumsi!$F$104/N155),1)</f>
        <v>1</v>
      </c>
      <c r="O156" s="57" t="n">
        <f aca="false">IF(AND(Asumsi!$F$103=1,O155&gt;0),MIN(1,Asumsi!$F$104/O155),1)</f>
        <v>1</v>
      </c>
      <c r="P156" s="57" t="n">
        <f aca="false">IF(AND(Asumsi!$F$103=1,P155&gt;0),MIN(1,Asumsi!$F$104/P155),1)</f>
        <v>1</v>
      </c>
      <c r="Q156" s="57" t="n">
        <f aca="false">IF(AND(Asumsi!$F$103=1,Q155&gt;0),MIN(1,Asumsi!$F$104/Q155),1)</f>
        <v>1</v>
      </c>
      <c r="R156" s="57" t="n">
        <f aca="false">IF(AND(Asumsi!$F$103=1,R155&gt;0),MIN(1,Asumsi!$F$104/R155),1)</f>
        <v>1</v>
      </c>
      <c r="S156" s="57" t="n">
        <f aca="false">IF(AND(Asumsi!$F$103=1,S155&gt;0),MIN(1,Asumsi!$F$104/S155),1)</f>
        <v>1</v>
      </c>
      <c r="T156" s="57" t="n">
        <f aca="false">IF(AND(Asumsi!$F$103=1,T155&gt;0),MIN(1,Asumsi!$F$104/T155),1)</f>
        <v>1</v>
      </c>
      <c r="U156" s="57" t="n">
        <f aca="false">IF(AND(Asumsi!$F$103=1,U155&gt;0),MIN(1,Asumsi!$F$104/U155),1)</f>
        <v>1</v>
      </c>
      <c r="V156" s="57" t="n">
        <f aca="false">IF(AND(Asumsi!$F$103=1,V155&gt;0),MIN(1,Asumsi!$F$104/V155),1)</f>
        <v>1</v>
      </c>
      <c r="W156" s="57" t="n">
        <f aca="false">IF(AND(Asumsi!$F$103=1,W155&gt;0),MIN(1,Asumsi!$F$104/W155),1)</f>
        <v>1</v>
      </c>
      <c r="X156" s="57" t="n">
        <f aca="false">IF(AND(Asumsi!$F$103=1,X155&gt;0),MIN(1,Asumsi!$F$104/X155),1)</f>
        <v>1</v>
      </c>
      <c r="Y156" s="57" t="n">
        <f aca="false">IF(AND(Asumsi!$F$103=1,Y155&gt;0),MIN(1,Asumsi!$F$104/Y155),1)</f>
        <v>1</v>
      </c>
      <c r="Z156" s="57" t="n">
        <f aca="false">IF(AND(Asumsi!$F$103=1,Z155&gt;0),MIN(1,Asumsi!$F$104/Z155),1)</f>
        <v>1</v>
      </c>
      <c r="AA156" s="57" t="n">
        <f aca="false">IF(AND(Asumsi!$F$103=1,AA155&gt;0),MIN(1,Asumsi!$F$104/AA155),1)</f>
        <v>1</v>
      </c>
    </row>
    <row r="157" customFormat="false" ht="15" hidden="false" customHeight="false" outlineLevel="0" collapsed="false">
      <c r="A157" s="4" t="s">
        <v>679</v>
      </c>
      <c r="B157" s="2" t="s">
        <v>20</v>
      </c>
      <c r="D157" s="49" t="n">
        <f aca="false">D154*D156</f>
        <v>1.645</v>
      </c>
      <c r="E157" s="49" t="n">
        <f aca="false">E154*E156</f>
        <v>3.70790435025497</v>
      </c>
      <c r="F157" s="49" t="n">
        <f aca="false">F154*F156</f>
        <v>5.98206903125195</v>
      </c>
      <c r="G157" s="49" t="n">
        <f aca="false">G154*G156</f>
        <v>8.35528744939391</v>
      </c>
      <c r="H157" s="49" t="n">
        <f aca="false">H154*H156</f>
        <v>13.9581624423601</v>
      </c>
      <c r="I157" s="49" t="n">
        <f aca="false">I154*I156</f>
        <v>20.1471213441766</v>
      </c>
      <c r="J157" s="49" t="n">
        <f aca="false">J154*J156</f>
        <v>26.3881153323055</v>
      </c>
      <c r="K157" s="49" t="n">
        <f aca="false">K154*K156</f>
        <v>32.7039074018883</v>
      </c>
      <c r="L157" s="49" t="n">
        <f aca="false">L154*L156</f>
        <v>39.1193027169563</v>
      </c>
      <c r="M157" s="49" t="n">
        <f aca="false">M154*M156</f>
        <v>45.6613857627195</v>
      </c>
      <c r="N157" s="49" t="n">
        <f aca="false">N154*N156</f>
        <v>52.3597832454869</v>
      </c>
      <c r="O157" s="49" t="n">
        <f aca="false">O154*O156</f>
        <v>59.2469555816455</v>
      </c>
      <c r="P157" s="49" t="n">
        <f aca="false">P154*P156</f>
        <v>66.3585201294375</v>
      </c>
      <c r="Q157" s="49" t="n">
        <f aca="false">Q154*Q156</f>
        <v>75.5613874417193</v>
      </c>
      <c r="R157" s="49" t="n">
        <f aca="false">R154*R156</f>
        <v>85.0212927582506</v>
      </c>
      <c r="S157" s="49" t="n">
        <f aca="false">S154*S156</f>
        <v>94.7869782770417</v>
      </c>
      <c r="T157" s="49" t="n">
        <f aca="false">T154*T156</f>
        <v>104.911993154609</v>
      </c>
      <c r="U157" s="49" t="n">
        <f aca="false">U154*U156</f>
        <v>115.455237303325</v>
      </c>
      <c r="V157" s="49" t="n">
        <f aca="false">V154*V156</f>
        <v>126.48156459912</v>
      </c>
      <c r="W157" s="49" t="n">
        <f aca="false">W154*W156</f>
        <v>138.062452045692</v>
      </c>
      <c r="X157" s="49" t="n">
        <f aca="false">X154*X156</f>
        <v>150.276742161211</v>
      </c>
      <c r="Y157" s="49" t="n">
        <f aca="false">Y154*Y156</f>
        <v>163.211466652411</v>
      </c>
      <c r="Z157" s="49" t="n">
        <f aca="false">Z154*Z156</f>
        <v>176.962760327869</v>
      </c>
      <c r="AA157" s="49" t="n">
        <f aca="false">AA154*AA156</f>
        <v>191.636875186668</v>
      </c>
      <c r="AB157" s="63" t="n">
        <f aca="false">SUM(D157:O157)</f>
        <v>309.27499465844</v>
      </c>
      <c r="AC157" s="63" t="n">
        <f aca="false">SUM(P157:AA157)</f>
        <v>1488.72727003735</v>
      </c>
      <c r="AD157" s="63" t="n">
        <f aca="false">SUM(C157:AA157)</f>
        <v>1798.00226469579</v>
      </c>
    </row>
    <row r="158" customFormat="false" ht="15" hidden="false" customHeight="false" outlineLevel="0" collapsed="false">
      <c r="A158" s="4" t="s">
        <v>680</v>
      </c>
      <c r="B158" s="2" t="s">
        <v>20</v>
      </c>
      <c r="D158" s="49" t="n">
        <f aca="false">D150+D152+D157</f>
        <v>69.4227777777778</v>
      </c>
      <c r="E158" s="49" t="n">
        <f aca="false">E150+E152+E157</f>
        <v>75.8856821280328</v>
      </c>
      <c r="F158" s="49" t="n">
        <f aca="false">F150+F152+F157</f>
        <v>83.0438468090297</v>
      </c>
      <c r="G158" s="49" t="n">
        <f aca="false">G150+G152+G157</f>
        <v>201.949416338283</v>
      </c>
      <c r="H158" s="49" t="n">
        <f aca="false">H150+H152+H157</f>
        <v>213.569867731249</v>
      </c>
      <c r="I158" s="49" t="n">
        <f aca="false">I150+I152+I157</f>
        <v>226.438336437066</v>
      </c>
      <c r="J158" s="49" t="n">
        <f aca="false">J150+J152+J157</f>
        <v>240.093586307634</v>
      </c>
      <c r="K158" s="49" t="n">
        <f aca="false">K150+K152+K157</f>
        <v>254.639202406726</v>
      </c>
      <c r="L158" s="49" t="n">
        <f aca="false">L150+L152+L157</f>
        <v>270.189702394548</v>
      </c>
      <c r="M158" s="49" t="n">
        <f aca="false">M150+M152+M157</f>
        <v>286.871751627069</v>
      </c>
      <c r="N158" s="49" t="n">
        <f aca="false">N150+N152+N157</f>
        <v>304.825511577137</v>
      </c>
      <c r="O158" s="49" t="n">
        <f aca="false">O150+O152+O157</f>
        <v>324.206136251999</v>
      </c>
      <c r="P158" s="49" t="n">
        <f aca="false">P150+P152+P157</f>
        <v>400.740988451308</v>
      </c>
      <c r="Q158" s="49" t="n">
        <f aca="false">Q150+Q152+Q157</f>
        <v>425.337038390106</v>
      </c>
      <c r="R158" s="49" t="n">
        <f aca="false">R150+R152+R157</f>
        <v>451.883376422071</v>
      </c>
      <c r="S158" s="49" t="n">
        <f aca="false">S150+S152+S157</f>
        <v>480.615002254994</v>
      </c>
      <c r="T158" s="49" t="n">
        <f aca="false">T150+T152+T157</f>
        <v>511.792210881246</v>
      </c>
      <c r="U158" s="49" t="n">
        <f aca="false">U150+U152+U157</f>
        <v>545.703390091004</v>
      </c>
      <c r="V158" s="49" t="n">
        <f aca="false">V150+V152+V157</f>
        <v>582.668125304554</v>
      </c>
      <c r="W158" s="49" t="n">
        <f aca="false">W150+W152+W157</f>
        <v>623.040645539836</v>
      </c>
      <c r="X158" s="49" t="n">
        <f aca="false">X150+X152+X157</f>
        <v>667.213648050822</v>
      </c>
      <c r="Y158" s="49" t="n">
        <f aca="false">Y150+Y152+Y157</f>
        <v>715.62254330099</v>
      </c>
      <c r="Z158" s="49" t="n">
        <f aca="false">Z150+Z152+Z157</f>
        <v>768.750166518902</v>
      </c>
      <c r="AA158" s="49" t="n">
        <f aca="false">AA150+AA152+AA157</f>
        <v>827.132007169827</v>
      </c>
      <c r="AB158" s="63" t="n">
        <f aca="false">SUM(D158:O158)</f>
        <v>2551.13581778655</v>
      </c>
      <c r="AC158" s="63" t="n">
        <f aca="false">SUM(P158:AA158)</f>
        <v>7000.49914237566</v>
      </c>
      <c r="AD158" s="63" t="n">
        <f aca="false">SUM(C158:AA158)</f>
        <v>9551.63496016221</v>
      </c>
    </row>
    <row r="159" customFormat="false" ht="15" hidden="false" customHeight="false" outlineLevel="0" collapsed="false">
      <c r="A159" s="4" t="s">
        <v>681</v>
      </c>
      <c r="B159" s="2" t="s">
        <v>12</v>
      </c>
      <c r="D159" s="9" t="n">
        <f aca="false">D158+D153*Asumsi!$F$89</f>
        <v>75.0627777777778</v>
      </c>
      <c r="E159" s="9" t="n">
        <f aca="false">E158+E153*Asumsi!$F$89</f>
        <v>88.5984970431927</v>
      </c>
      <c r="F159" s="9" t="n">
        <f aca="false">F158+F153*Asumsi!$F$89</f>
        <v>103.553797773322</v>
      </c>
      <c r="G159" s="9" t="n">
        <f aca="false">G158+G153*Asumsi!$F$89</f>
        <v>230.596116164776</v>
      </c>
      <c r="H159" s="9" t="n">
        <f aca="false">H158+H153*Asumsi!$F$89</f>
        <v>261.426424676484</v>
      </c>
      <c r="I159" s="9" t="n">
        <f aca="false">I158+I153*Asumsi!$F$89</f>
        <v>295.514181045671</v>
      </c>
      <c r="J159" s="9" t="n">
        <f aca="false">J158+J153*Asumsi!$F$89</f>
        <v>330.567124589825</v>
      </c>
      <c r="K159" s="9" t="n">
        <f aca="false">K158+K153*Asumsi!$F$89</f>
        <v>366.766884927486</v>
      </c>
      <c r="L159" s="9" t="n">
        <f aca="false">L158+L153*Asumsi!$F$89</f>
        <v>404.313025995541</v>
      </c>
      <c r="M159" s="9" t="n">
        <f aca="false">M158+M153*Asumsi!$F$89</f>
        <v>443.425074242107</v>
      </c>
      <c r="N159" s="9" t="n">
        <f aca="false">N158+N153*Asumsi!$F$89</f>
        <v>484.344768418806</v>
      </c>
      <c r="O159" s="9" t="n">
        <f aca="false">O158+O153*Asumsi!$F$89</f>
        <v>527.338555389069</v>
      </c>
      <c r="P159" s="9" t="n">
        <f aca="false">P158+P153*Asumsi!$F$89</f>
        <v>628.255914609379</v>
      </c>
      <c r="Q159" s="9" t="n">
        <f aca="false">Q158+Q153*Asumsi!$F$89</f>
        <v>684.404652476001</v>
      </c>
      <c r="R159" s="9" t="n">
        <f aca="false">R158+R153*Asumsi!$F$89</f>
        <v>743.384951593216</v>
      </c>
      <c r="S159" s="9" t="n">
        <f aca="false">S158+S153*Asumsi!$F$89</f>
        <v>805.598927776279</v>
      </c>
      <c r="T159" s="9" t="n">
        <f aca="false">T158+T153*Asumsi!$F$89</f>
        <v>871.490473125618</v>
      </c>
      <c r="U159" s="9" t="n">
        <f aca="false">U158+U153*Asumsi!$F$89</f>
        <v>941.549917988118</v>
      </c>
      <c r="V159" s="9" t="n">
        <f aca="false">V158+V153*Asumsi!$F$89</f>
        <v>1016.31920393011</v>
      </c>
      <c r="W159" s="9" t="n">
        <f aca="false">W158+W153*Asumsi!$F$89</f>
        <v>1096.39762398221</v>
      </c>
      <c r="X159" s="9" t="n">
        <f aca="false">X158+X153*Asumsi!$F$89</f>
        <v>1182.44819260355</v>
      </c>
      <c r="Y159" s="9" t="n">
        <f aca="false">Y158+Y153*Asumsi!$F$89</f>
        <v>1275.20471468068</v>
      </c>
      <c r="Z159" s="9" t="n">
        <f aca="false">Z158+Z153*Asumsi!$F$89</f>
        <v>1375.47963050017</v>
      </c>
      <c r="AA159" s="9" t="n">
        <f aca="false">AA158+AA153*Asumsi!$F$89</f>
        <v>1484.17272209555</v>
      </c>
      <c r="AB159" s="64" t="n">
        <f aca="false">SUM(D159:O159)</f>
        <v>3611.50722804406</v>
      </c>
      <c r="AC159" s="64" t="n">
        <f aca="false">SUM(P159:AA159)</f>
        <v>12104.7069253609</v>
      </c>
      <c r="AD159" s="64" t="n">
        <f aca="false">SUM(C159:AA159)</f>
        <v>15716.2141534049</v>
      </c>
    </row>
    <row r="160" customFormat="false" ht="15" hidden="false" customHeight="false" outlineLevel="0" collapsed="false">
      <c r="A160" s="4" t="s">
        <v>682</v>
      </c>
      <c r="B160" s="2" t="s">
        <v>12</v>
      </c>
      <c r="D160" s="36" t="n">
        <f aca="false">MIN(D159,D148)</f>
        <v>71.04</v>
      </c>
      <c r="E160" s="36" t="n">
        <f aca="false">MIN(E159,E148)</f>
        <v>88.5984970431927</v>
      </c>
      <c r="F160" s="36" t="n">
        <f aca="false">MIN(F159,F148)</f>
        <v>103.553797773322</v>
      </c>
      <c r="G160" s="36" t="n">
        <f aca="false">MIN(G159,G148)</f>
        <v>211.85644992</v>
      </c>
      <c r="H160" s="36" t="n">
        <f aca="false">MIN(H159,H148)</f>
        <v>261.426424676484</v>
      </c>
      <c r="I160" s="36" t="n">
        <f aca="false">MIN(I159,I148)</f>
        <v>295.514181045671</v>
      </c>
      <c r="J160" s="36" t="n">
        <f aca="false">MIN(J159,J148)</f>
        <v>330.567124589825</v>
      </c>
      <c r="K160" s="36" t="n">
        <f aca="false">MIN(K159,K148)</f>
        <v>366.766884927486</v>
      </c>
      <c r="L160" s="36" t="n">
        <f aca="false">MIN(L159,L148)</f>
        <v>404.313025995541</v>
      </c>
      <c r="M160" s="36" t="n">
        <f aca="false">MIN(M159,M148)</f>
        <v>443.425074242107</v>
      </c>
      <c r="N160" s="36" t="n">
        <f aca="false">MIN(N159,N148)</f>
        <v>484.344768418806</v>
      </c>
      <c r="O160" s="36" t="n">
        <f aca="false">MIN(O159,O148)</f>
        <v>527.338555389069</v>
      </c>
      <c r="P160" s="36" t="n">
        <f aca="false">MIN(P159,P148)</f>
        <v>628.255914609379</v>
      </c>
      <c r="Q160" s="36" t="n">
        <f aca="false">MIN(Q159,Q148)</f>
        <v>684.404652476001</v>
      </c>
      <c r="R160" s="36" t="n">
        <f aca="false">MIN(R159,R148)</f>
        <v>743.384951593216</v>
      </c>
      <c r="S160" s="36" t="n">
        <f aca="false">MIN(S159,S148)</f>
        <v>805.598927776279</v>
      </c>
      <c r="T160" s="36" t="n">
        <f aca="false">MIN(T159,T148)</f>
        <v>871.490473125618</v>
      </c>
      <c r="U160" s="36" t="n">
        <f aca="false">MIN(U159,U148)</f>
        <v>941.549917988118</v>
      </c>
      <c r="V160" s="36" t="n">
        <f aca="false">MIN(V159,V148)</f>
        <v>1016.31920393011</v>
      </c>
      <c r="W160" s="36" t="n">
        <f aca="false">MIN(W159,W148)</f>
        <v>1096.39762398221</v>
      </c>
      <c r="X160" s="36" t="n">
        <f aca="false">MIN(X159,X148)</f>
        <v>1182.44819260355</v>
      </c>
      <c r="Y160" s="36" t="n">
        <f aca="false">MIN(Y159,Y148)</f>
        <v>1275.20471468068</v>
      </c>
      <c r="Z160" s="36" t="n">
        <f aca="false">MIN(Z159,Z148)</f>
        <v>1375.47963050017</v>
      </c>
      <c r="AA160" s="36" t="n">
        <f aca="false">MIN(AA159,AA148)</f>
        <v>1484.17272209555</v>
      </c>
      <c r="AB160" s="64" t="n">
        <f aca="false">SUM(D160:O160)</f>
        <v>3588.7447840215</v>
      </c>
      <c r="AC160" s="64" t="n">
        <f aca="false">SUM(P160:AA160)</f>
        <v>12104.7069253609</v>
      </c>
      <c r="AD160" s="64" t="n">
        <f aca="false">SUM(C160:AA160)</f>
        <v>15693.4517093824</v>
      </c>
    </row>
    <row r="161" customFormat="false" ht="15" hidden="false" customHeight="false" outlineLevel="0" collapsed="false">
      <c r="A161" s="4" t="s">
        <v>683</v>
      </c>
      <c r="B161" s="2" t="s">
        <v>25</v>
      </c>
      <c r="D161" s="40" t="n">
        <f aca="false">IF(D159&gt;0,D160/D159,0)</f>
        <v>0.946407821601179</v>
      </c>
      <c r="E161" s="40" t="n">
        <f aca="false">IF(E159&gt;0,E160/E159,0)</f>
        <v>1</v>
      </c>
      <c r="F161" s="40" t="n">
        <f aca="false">IF(F159&gt;0,F160/F159,0)</f>
        <v>1</v>
      </c>
      <c r="G161" s="40" t="n">
        <f aca="false">IF(G159&gt;0,G160/G159,0)</f>
        <v>0.918733816698866</v>
      </c>
      <c r="H161" s="40" t="n">
        <f aca="false">IF(H159&gt;0,H160/H159,0)</f>
        <v>1</v>
      </c>
      <c r="I161" s="40" t="n">
        <f aca="false">IF(I159&gt;0,I160/I159,0)</f>
        <v>1</v>
      </c>
      <c r="J161" s="40" t="n">
        <f aca="false">IF(J159&gt;0,J160/J159,0)</f>
        <v>1</v>
      </c>
      <c r="K161" s="40" t="n">
        <f aca="false">IF(K159&gt;0,K160/K159,0)</f>
        <v>1</v>
      </c>
      <c r="L161" s="40" t="n">
        <f aca="false">IF(L159&gt;0,L160/L159,0)</f>
        <v>1</v>
      </c>
      <c r="M161" s="40" t="n">
        <f aca="false">IF(M159&gt;0,M160/M159,0)</f>
        <v>1</v>
      </c>
      <c r="N161" s="40" t="n">
        <f aca="false">IF(N159&gt;0,N160/N159,0)</f>
        <v>1</v>
      </c>
      <c r="O161" s="40" t="n">
        <f aca="false">IF(O159&gt;0,O160/O159,0)</f>
        <v>1</v>
      </c>
      <c r="P161" s="40" t="n">
        <f aca="false">IF(P159&gt;0,P160/P159,0)</f>
        <v>1</v>
      </c>
      <c r="Q161" s="40" t="n">
        <f aca="false">IF(Q159&gt;0,Q160/Q159,0)</f>
        <v>1</v>
      </c>
      <c r="R161" s="40" t="n">
        <f aca="false">IF(R159&gt;0,R160/R159,0)</f>
        <v>1</v>
      </c>
      <c r="S161" s="40" t="n">
        <f aca="false">IF(S159&gt;0,S160/S159,0)</f>
        <v>1</v>
      </c>
      <c r="T161" s="40" t="n">
        <f aca="false">IF(T159&gt;0,T160/T159,0)</f>
        <v>1</v>
      </c>
      <c r="U161" s="40" t="n">
        <f aca="false">IF(U159&gt;0,U160/U159,0)</f>
        <v>1</v>
      </c>
      <c r="V161" s="40" t="n">
        <f aca="false">IF(V159&gt;0,V160/V159,0)</f>
        <v>1</v>
      </c>
      <c r="W161" s="40" t="n">
        <f aca="false">IF(W159&gt;0,W160/W159,0)</f>
        <v>1</v>
      </c>
      <c r="X161" s="40" t="n">
        <f aca="false">IF(X159&gt;0,X160/X159,0)</f>
        <v>1</v>
      </c>
      <c r="Y161" s="40" t="n">
        <f aca="false">IF(Y159&gt;0,Y160/Y159,0)</f>
        <v>1</v>
      </c>
      <c r="Z161" s="40" t="n">
        <f aca="false">IF(Z159&gt;0,Z160/Z159,0)</f>
        <v>1</v>
      </c>
      <c r="AA161" s="40" t="n">
        <f aca="false">IF(AA159&gt;0,AA160/AA159,0)</f>
        <v>1</v>
      </c>
      <c r="AB161" s="65" t="n">
        <f aca="false">IF(AB159&gt;0,AB160/AB159,0)</f>
        <v>0.99369724533685</v>
      </c>
      <c r="AC161" s="65" t="n">
        <f aca="false">IF(AC159&gt;0,AC160/AC159,0)</f>
        <v>1</v>
      </c>
      <c r="AD161" s="65" t="n">
        <f aca="false">IF(AD159&gt;0,AD160/AD159,0)</f>
        <v>0.998551658573727</v>
      </c>
    </row>
    <row r="162" customFormat="false" ht="15" hidden="false" customHeight="false" outlineLevel="0" collapsed="false">
      <c r="A162" s="4" t="s">
        <v>684</v>
      </c>
      <c r="B162" s="2" t="s">
        <v>20</v>
      </c>
      <c r="C162" s="9" t="n">
        <f aca="false">Asumsi!$F$81</f>
        <v>50</v>
      </c>
      <c r="D162" s="36" t="n">
        <f aca="false">D153+D158*D161</f>
        <v>112.702259886169</v>
      </c>
      <c r="E162" s="36" t="n">
        <f aca="false">E153+E158*E161</f>
        <v>181.825806421032</v>
      </c>
      <c r="F162" s="36" t="n">
        <f aca="false">F153+F158*F161</f>
        <v>253.9601048448</v>
      </c>
      <c r="G162" s="36" t="n">
        <f aca="false">G153+G158*G161</f>
        <v>424.260256606691</v>
      </c>
      <c r="H162" s="36" t="n">
        <f aca="false">H153+H158*H161</f>
        <v>612.374508941538</v>
      </c>
      <c r="I162" s="36" t="n">
        <f aca="false">I153+I158*I161</f>
        <v>802.070374842112</v>
      </c>
      <c r="J162" s="36" t="n">
        <f aca="false">J153+J158*J161</f>
        <v>994.039738659219</v>
      </c>
      <c r="K162" s="36" t="n">
        <f aca="false">K153+K158*K161</f>
        <v>1189.03655674639</v>
      </c>
      <c r="L162" s="36" t="n">
        <f aca="false">L153+L158*L161</f>
        <v>1387.88406573616</v>
      </c>
      <c r="M162" s="36" t="n">
        <f aca="false">M153+M158*M161</f>
        <v>1591.48277341906</v>
      </c>
      <c r="N162" s="36" t="n">
        <f aca="false">N153+N158*N161</f>
        <v>1800.81931859105</v>
      </c>
      <c r="O162" s="36" t="n">
        <f aca="false">O153+O158*O161</f>
        <v>2016.97629572758</v>
      </c>
      <c r="P162" s="36" t="n">
        <f aca="false">P153+P158*P161</f>
        <v>2296.69870643524</v>
      </c>
      <c r="Q162" s="36" t="n">
        <f aca="false">Q153+Q158*Q161</f>
        <v>2584.23382243923</v>
      </c>
      <c r="R162" s="36" t="n">
        <f aca="false">R153+R158*R161</f>
        <v>2881.06316951495</v>
      </c>
      <c r="S162" s="36" t="n">
        <f aca="false">S153+S158*S161</f>
        <v>3188.81438159904</v>
      </c>
      <c r="T162" s="36" t="n">
        <f aca="false">T153+T158*T161</f>
        <v>3509.27772958435</v>
      </c>
      <c r="U162" s="36" t="n">
        <f aca="false">U153+U158*U161</f>
        <v>3844.42445590029</v>
      </c>
      <c r="V162" s="36" t="n">
        <f aca="false">V153+V158*V161</f>
        <v>4196.42711385083</v>
      </c>
      <c r="W162" s="36" t="n">
        <f aca="false">W153+W158*W161</f>
        <v>4567.68213255961</v>
      </c>
      <c r="X162" s="36" t="n">
        <f aca="false">X153+X158*X161</f>
        <v>4960.83485265686</v>
      </c>
      <c r="Y162" s="36" t="n">
        <f aca="false">Y153+Y158*Y161</f>
        <v>5378.80730479843</v>
      </c>
      <c r="Z162" s="36" t="n">
        <f aca="false">Z153+Z158*Z161</f>
        <v>5824.82903302943</v>
      </c>
      <c r="AA162" s="36" t="n">
        <f aca="false">AA153+AA158*AA161</f>
        <v>6302.47129821749</v>
      </c>
      <c r="AB162" s="64" t="n">
        <f aca="false">O162</f>
        <v>2016.97629572758</v>
      </c>
      <c r="AC162" s="64" t="n">
        <f aca="false">AA162</f>
        <v>6302.47129821749</v>
      </c>
      <c r="AD162" s="64" t="n">
        <f aca="false">AA162</f>
        <v>6302.47129821749</v>
      </c>
    </row>
    <row r="163" customFormat="false" ht="15" hidden="false" customHeight="false" outlineLevel="0" collapsed="false">
      <c r="A163" s="4" t="s">
        <v>685</v>
      </c>
      <c r="B163" s="2" t="s">
        <v>12</v>
      </c>
      <c r="D163" s="15" t="n">
        <f aca="false">D160*Asumsi!$F$65</f>
        <v>2.8416</v>
      </c>
      <c r="E163" s="15" t="n">
        <f aca="false">E160*Asumsi!$F$65</f>
        <v>3.54393988172771</v>
      </c>
      <c r="F163" s="15" t="n">
        <f aca="false">F160*Asumsi!$F$65</f>
        <v>4.14215191093289</v>
      </c>
      <c r="G163" s="15" t="n">
        <f aca="false">G160*Asumsi!$F$65</f>
        <v>8.4742579968</v>
      </c>
      <c r="H163" s="15" t="n">
        <f aca="false">H160*Asumsi!$F$65</f>
        <v>10.4570569870594</v>
      </c>
      <c r="I163" s="15" t="n">
        <f aca="false">I160*Asumsi!$F$65</f>
        <v>11.8205672418268</v>
      </c>
      <c r="J163" s="15" t="n">
        <f aca="false">J160*Asumsi!$F$65</f>
        <v>13.222684983593</v>
      </c>
      <c r="K163" s="15" t="n">
        <f aca="false">K160*Asumsi!$F$65</f>
        <v>14.6706753970994</v>
      </c>
      <c r="L163" s="15" t="n">
        <f aca="false">L160*Asumsi!$F$65</f>
        <v>16.1725210398216</v>
      </c>
      <c r="M163" s="15" t="n">
        <f aca="false">M160*Asumsi!$F$65</f>
        <v>17.7370029696843</v>
      </c>
      <c r="N163" s="15" t="n">
        <f aca="false">N160*Asumsi!$F$65</f>
        <v>19.3737907367522</v>
      </c>
      <c r="O163" s="15" t="n">
        <f aca="false">O160*Asumsi!$F$65</f>
        <v>21.0935422155628</v>
      </c>
      <c r="P163" s="15" t="n">
        <f aca="false">P160*Asumsi!$F$65</f>
        <v>25.1302365843752</v>
      </c>
      <c r="Q163" s="15" t="n">
        <f aca="false">Q160*Asumsi!$F$65</f>
        <v>27.37618609904</v>
      </c>
      <c r="R163" s="15" t="n">
        <f aca="false">R160*Asumsi!$F$65</f>
        <v>29.7353980637286</v>
      </c>
      <c r="S163" s="15" t="n">
        <f aca="false">S160*Asumsi!$F$65</f>
        <v>32.2239571110512</v>
      </c>
      <c r="T163" s="15" t="n">
        <f aca="false">T160*Asumsi!$F$65</f>
        <v>34.8596189250247</v>
      </c>
      <c r="U163" s="15" t="n">
        <f aca="false">U160*Asumsi!$F$65</f>
        <v>37.6619967195247</v>
      </c>
      <c r="V163" s="15" t="n">
        <f aca="false">V160*Asumsi!$F$65</f>
        <v>40.6527681572043</v>
      </c>
      <c r="W163" s="15" t="n">
        <f aca="false">W160*Asumsi!$F$65</f>
        <v>43.8559049592884</v>
      </c>
      <c r="X163" s="15" t="n">
        <f aca="false">X160*Asumsi!$F$65</f>
        <v>47.2979277041419</v>
      </c>
      <c r="Y163" s="15" t="n">
        <f aca="false">Y160*Asumsi!$F$65</f>
        <v>51.0081885872273</v>
      </c>
      <c r="Z163" s="15" t="n">
        <f aca="false">Z160*Asumsi!$F$65</f>
        <v>55.0191852200066</v>
      </c>
      <c r="AA163" s="15" t="n">
        <f aca="false">AA160*Asumsi!$F$65</f>
        <v>59.3669088838219</v>
      </c>
      <c r="AB163" s="63" t="n">
        <f aca="false">SUM(D163:O163)</f>
        <v>143.54979136086</v>
      </c>
      <c r="AC163" s="63" t="n">
        <f aca="false">SUM(P163:AA163)</f>
        <v>484.188277014435</v>
      </c>
      <c r="AD163" s="63" t="n">
        <f aca="false">SUM(C163:AA163)</f>
        <v>627.738068375295</v>
      </c>
    </row>
    <row r="164" customFormat="false" ht="15" hidden="false" customHeight="false" outlineLevel="0" collapsed="false">
      <c r="A164" s="4" t="s">
        <v>686</v>
      </c>
      <c r="B164" s="2" t="s">
        <v>12</v>
      </c>
      <c r="D164" s="36" t="n">
        <f aca="false">D160-D163</f>
        <v>68.1984</v>
      </c>
      <c r="E164" s="36" t="n">
        <f aca="false">E160-E163</f>
        <v>85.0545571614649</v>
      </c>
      <c r="F164" s="36" t="n">
        <f aca="false">F160-F163</f>
        <v>99.4116458623893</v>
      </c>
      <c r="G164" s="36" t="n">
        <f aca="false">G160-G163</f>
        <v>203.3821919232</v>
      </c>
      <c r="H164" s="36" t="n">
        <f aca="false">H160-H163</f>
        <v>250.969367689424</v>
      </c>
      <c r="I164" s="36" t="n">
        <f aca="false">I160-I163</f>
        <v>283.693613803844</v>
      </c>
      <c r="J164" s="36" t="n">
        <f aca="false">J160-J163</f>
        <v>317.344439606232</v>
      </c>
      <c r="K164" s="36" t="n">
        <f aca="false">K160-K163</f>
        <v>352.096209530386</v>
      </c>
      <c r="L164" s="36" t="n">
        <f aca="false">L160-L163</f>
        <v>388.140504955719</v>
      </c>
      <c r="M164" s="36" t="n">
        <f aca="false">M160-M163</f>
        <v>425.688071272423</v>
      </c>
      <c r="N164" s="36" t="n">
        <f aca="false">N160-N163</f>
        <v>464.970977682054</v>
      </c>
      <c r="O164" s="36" t="n">
        <f aca="false">O160-O163</f>
        <v>506.245013173506</v>
      </c>
      <c r="P164" s="36" t="n">
        <f aca="false">P160-P163</f>
        <v>603.125678025004</v>
      </c>
      <c r="Q164" s="36" t="n">
        <f aca="false">Q160-Q163</f>
        <v>657.028466376961</v>
      </c>
      <c r="R164" s="36" t="n">
        <f aca="false">R160-R163</f>
        <v>713.649553529487</v>
      </c>
      <c r="S164" s="36" t="n">
        <f aca="false">S160-S163</f>
        <v>773.374970665228</v>
      </c>
      <c r="T164" s="36" t="n">
        <f aca="false">T160-T163</f>
        <v>836.630854200593</v>
      </c>
      <c r="U164" s="36" t="n">
        <f aca="false">U160-U163</f>
        <v>903.887921268594</v>
      </c>
      <c r="V164" s="36" t="n">
        <f aca="false">V160-V163</f>
        <v>975.666435772903</v>
      </c>
      <c r="W164" s="36" t="n">
        <f aca="false">W160-W163</f>
        <v>1052.54171902292</v>
      </c>
      <c r="X164" s="36" t="n">
        <f aca="false">X160-X163</f>
        <v>1135.1502648994</v>
      </c>
      <c r="Y164" s="36" t="n">
        <f aca="false">Y160-Y163</f>
        <v>1224.19652609346</v>
      </c>
      <c r="Z164" s="36" t="n">
        <f aca="false">Z160-Z163</f>
        <v>1320.46044528016</v>
      </c>
      <c r="AA164" s="36" t="n">
        <f aca="false">AA160-AA163</f>
        <v>1424.80581321172</v>
      </c>
      <c r="AB164" s="64" t="n">
        <f aca="false">SUM(D164:O164)</f>
        <v>3445.19499266064</v>
      </c>
      <c r="AC164" s="64" t="n">
        <f aca="false">SUM(P164:AA164)</f>
        <v>11620.5186483464</v>
      </c>
      <c r="AD164" s="64" t="n">
        <f aca="false">SUM(C164:AA164)</f>
        <v>15065.7136410071</v>
      </c>
    </row>
    <row r="165" customFormat="false" ht="15" hidden="false" customHeight="false" outlineLevel="0" collapsed="false">
      <c r="A165" s="4" t="s">
        <v>687</v>
      </c>
      <c r="B165" s="2" t="s">
        <v>28</v>
      </c>
      <c r="D165" s="34" t="str">
        <f aca="false">IF(D159&gt;D148,"Pasokan","Permintaan")</f>
        <v>Pasokan</v>
      </c>
      <c r="E165" s="34" t="str">
        <f aca="false">IF(E159&gt;E148,"Pasokan","Permintaan")</f>
        <v>Permintaan</v>
      </c>
      <c r="F165" s="34" t="str">
        <f aca="false">IF(F159&gt;F148,"Pasokan","Permintaan")</f>
        <v>Permintaan</v>
      </c>
      <c r="G165" s="34" t="str">
        <f aca="false">IF(G159&gt;G148,"Pasokan","Permintaan")</f>
        <v>Pasokan</v>
      </c>
      <c r="H165" s="34" t="str">
        <f aca="false">IF(H159&gt;H148,"Pasokan","Permintaan")</f>
        <v>Permintaan</v>
      </c>
      <c r="I165" s="34" t="str">
        <f aca="false">IF(I159&gt;I148,"Pasokan","Permintaan")</f>
        <v>Permintaan</v>
      </c>
      <c r="J165" s="34" t="str">
        <f aca="false">IF(J159&gt;J148,"Pasokan","Permintaan")</f>
        <v>Permintaan</v>
      </c>
      <c r="K165" s="34" t="str">
        <f aca="false">IF(K159&gt;K148,"Pasokan","Permintaan")</f>
        <v>Permintaan</v>
      </c>
      <c r="L165" s="34" t="str">
        <f aca="false">IF(L159&gt;L148,"Pasokan","Permintaan")</f>
        <v>Permintaan</v>
      </c>
      <c r="M165" s="34" t="str">
        <f aca="false">IF(M159&gt;M148,"Pasokan","Permintaan")</f>
        <v>Permintaan</v>
      </c>
      <c r="N165" s="34" t="str">
        <f aca="false">IF(N159&gt;N148,"Pasokan","Permintaan")</f>
        <v>Permintaan</v>
      </c>
      <c r="O165" s="34" t="str">
        <f aca="false">IF(O159&gt;O148,"Pasokan","Permintaan")</f>
        <v>Permintaan</v>
      </c>
      <c r="P165" s="34" t="str">
        <f aca="false">IF(P159&gt;P148,"Pasokan","Permintaan")</f>
        <v>Permintaan</v>
      </c>
      <c r="Q165" s="34" t="str">
        <f aca="false">IF(Q159&gt;Q148,"Pasokan","Permintaan")</f>
        <v>Permintaan</v>
      </c>
      <c r="R165" s="34" t="str">
        <f aca="false">IF(R159&gt;R148,"Pasokan","Permintaan")</f>
        <v>Permintaan</v>
      </c>
      <c r="S165" s="34" t="str">
        <f aca="false">IF(S159&gt;S148,"Pasokan","Permintaan")</f>
        <v>Permintaan</v>
      </c>
      <c r="T165" s="34" t="str">
        <f aca="false">IF(T159&gt;T148,"Pasokan","Permintaan")</f>
        <v>Permintaan</v>
      </c>
      <c r="U165" s="34" t="str">
        <f aca="false">IF(U159&gt;U148,"Pasokan","Permintaan")</f>
        <v>Permintaan</v>
      </c>
      <c r="V165" s="34" t="str">
        <f aca="false">IF(V159&gt;V148,"Pasokan","Permintaan")</f>
        <v>Permintaan</v>
      </c>
      <c r="W165" s="34" t="str">
        <f aca="false">IF(W159&gt;W148,"Pasokan","Permintaan")</f>
        <v>Permintaan</v>
      </c>
      <c r="X165" s="34" t="str">
        <f aca="false">IF(X159&gt;X148,"Pasokan","Permintaan")</f>
        <v>Permintaan</v>
      </c>
      <c r="Y165" s="34" t="str">
        <f aca="false">IF(Y159&gt;Y148,"Pasokan","Permintaan")</f>
        <v>Permintaan</v>
      </c>
      <c r="Z165" s="34" t="str">
        <f aca="false">IF(Z159&gt;Z148,"Pasokan","Permintaan")</f>
        <v>Permintaan</v>
      </c>
      <c r="AA165" s="34" t="str">
        <f aca="false">IF(AA159&gt;AA148,"Pasokan","Permintaan")</f>
        <v>Permintaan</v>
      </c>
    </row>
    <row r="166" customFormat="false" ht="15" hidden="false" customHeight="false" outlineLevel="0" collapsed="false">
      <c r="A166" s="7" t="s">
        <v>688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customFormat="false" ht="15" hidden="false" customHeight="false" outlineLevel="0" collapsed="false">
      <c r="A167" s="4" t="s">
        <v>689</v>
      </c>
      <c r="B167" s="2" t="s">
        <v>46</v>
      </c>
      <c r="D167" s="9" t="n">
        <f aca="false">D164*'Unit Economics'!$E$18</f>
        <v>249196024.737792</v>
      </c>
      <c r="E167" s="9" t="n">
        <f aca="false">E164*'Unit Economics'!$E$18</f>
        <v>310788193.424924</v>
      </c>
      <c r="F167" s="9" t="n">
        <f aca="false">F164*'Unit Economics'!$E$18</f>
        <v>363248799.994554</v>
      </c>
      <c r="G167" s="9" t="n">
        <f aca="false">G164*'Unit Economics'!$E$18</f>
        <v>743155759.221919</v>
      </c>
      <c r="H167" s="9" t="n">
        <f aca="false">H164*'Unit Economics'!$E$18</f>
        <v>917038651.334369</v>
      </c>
      <c r="I167" s="9" t="n">
        <f aca="false">I164*'Unit Economics'!$E$18</f>
        <v>1036612600.93223</v>
      </c>
      <c r="J167" s="9" t="n">
        <f aca="false">J164*'Unit Economics'!$E$18</f>
        <v>1159572260.0899</v>
      </c>
      <c r="K167" s="9" t="n">
        <f aca="false">K164*'Unit Economics'!$E$18</f>
        <v>1286554754.07366</v>
      </c>
      <c r="L167" s="9" t="n">
        <f aca="false">L164*'Unit Economics'!$E$18</f>
        <v>1418260118.63452</v>
      </c>
      <c r="M167" s="9" t="n">
        <f aca="false">M164*'Unit Economics'!$E$18</f>
        <v>1555458414.5579</v>
      </c>
      <c r="N167" s="9" t="n">
        <f aca="false">N164*'Unit Economics'!$E$18</f>
        <v>1698997619.54551</v>
      </c>
      <c r="O167" s="9" t="n">
        <f aca="false">O164*'Unit Economics'!$E$18</f>
        <v>1849812383.07891</v>
      </c>
      <c r="P167" s="9" t="n">
        <f aca="false">P164*'Unit Economics'!$E$18</f>
        <v>2203813012.93163</v>
      </c>
      <c r="Q167" s="9" t="n">
        <f aca="false">Q164*'Unit Economics'!$E$18</f>
        <v>2400773067.4137</v>
      </c>
      <c r="R167" s="9" t="n">
        <f aca="false">R164*'Unit Economics'!$E$18</f>
        <v>2607665748.68983</v>
      </c>
      <c r="S167" s="9" t="n">
        <f aca="false">S164*'Unit Economics'!$E$18</f>
        <v>2825901609.44364</v>
      </c>
      <c r="T167" s="9" t="n">
        <f aca="false">T164*'Unit Economics'!$E$18</f>
        <v>3057037746.33673</v>
      </c>
      <c r="U167" s="9" t="n">
        <f aca="false">U164*'Unit Economics'!$E$18</f>
        <v>3302794153.36195</v>
      </c>
      <c r="V167" s="9" t="n">
        <f aca="false">V164*'Unit Economics'!$E$18</f>
        <v>3565071867.73733</v>
      </c>
      <c r="W167" s="9" t="n">
        <f aca="false">W164*'Unit Economics'!$E$18</f>
        <v>3845973105.69154</v>
      </c>
      <c r="X167" s="9" t="n">
        <f aca="false">X164*'Unit Economics'!$E$18</f>
        <v>4147823607.19582</v>
      </c>
      <c r="Y167" s="9" t="n">
        <f aca="false">Y164*'Unit Economics'!$E$18</f>
        <v>4473197432.7888</v>
      </c>
      <c r="Z167" s="9" t="n">
        <f aca="false">Z164*'Unit Economics'!$E$18</f>
        <v>4824944482.38244</v>
      </c>
      <c r="AA167" s="9" t="n">
        <f aca="false">AA164*'Unit Economics'!$E$18</f>
        <v>5206221035.62047</v>
      </c>
      <c r="AB167" s="64" t="n">
        <f aca="false">SUM(D167:O167)</f>
        <v>12588695579.6262</v>
      </c>
      <c r="AC167" s="64" t="n">
        <f aca="false">SUM(P167:AA167)</f>
        <v>42461216869.5939</v>
      </c>
      <c r="AD167" s="64" t="n">
        <f aca="false">SUM(C167:AA167)</f>
        <v>55049912449.2201</v>
      </c>
    </row>
    <row r="168" customFormat="false" ht="15" hidden="false" customHeight="false" outlineLevel="0" collapsed="false">
      <c r="A168" s="4" t="s">
        <v>690</v>
      </c>
      <c r="B168" s="2" t="s">
        <v>46</v>
      </c>
      <c r="D168" s="9" t="n">
        <f aca="false">D164*'Unit Economics'!$E$8</f>
        <v>170496000</v>
      </c>
      <c r="E168" s="9" t="n">
        <f aca="false">E164*'Unit Economics'!$E$8</f>
        <v>212636392.903662</v>
      </c>
      <c r="F168" s="9" t="n">
        <f aca="false">F164*'Unit Economics'!$E$8</f>
        <v>248529114.655973</v>
      </c>
      <c r="G168" s="9" t="n">
        <f aca="false">G164*'Unit Economics'!$E$8</f>
        <v>508455479.808</v>
      </c>
      <c r="H168" s="9" t="n">
        <f aca="false">H164*'Unit Economics'!$E$8</f>
        <v>627423419.223561</v>
      </c>
      <c r="I168" s="9" t="n">
        <f aca="false">I164*'Unit Economics'!$E$8</f>
        <v>709234034.509611</v>
      </c>
      <c r="J168" s="9" t="n">
        <f aca="false">J164*'Unit Economics'!$E$8</f>
        <v>793361099.015579</v>
      </c>
      <c r="K168" s="9" t="n">
        <f aca="false">K164*'Unit Economics'!$E$8</f>
        <v>880240523.825965</v>
      </c>
      <c r="L168" s="9" t="n">
        <f aca="false">L164*'Unit Economics'!$E$8</f>
        <v>970351262.389298</v>
      </c>
      <c r="M168" s="9" t="n">
        <f aca="false">M164*'Unit Economics'!$E$8</f>
        <v>1064220178.18106</v>
      </c>
      <c r="N168" s="9" t="n">
        <f aca="false">N164*'Unit Economics'!$E$8</f>
        <v>1162427444.20513</v>
      </c>
      <c r="O168" s="9" t="n">
        <f aca="false">O164*'Unit Economics'!$E$8</f>
        <v>1265612532.93377</v>
      </c>
      <c r="P168" s="9" t="n">
        <f aca="false">P164*'Unit Economics'!$E$8</f>
        <v>1507814195.06251</v>
      </c>
      <c r="Q168" s="9" t="n">
        <f aca="false">Q164*'Unit Economics'!$E$8</f>
        <v>1642571165.9424</v>
      </c>
      <c r="R168" s="9" t="n">
        <f aca="false">R164*'Unit Economics'!$E$8</f>
        <v>1784123883.82372</v>
      </c>
      <c r="S168" s="9" t="n">
        <f aca="false">S164*'Unit Economics'!$E$8</f>
        <v>1933437426.66307</v>
      </c>
      <c r="T168" s="9" t="n">
        <f aca="false">T164*'Unit Economics'!$E$8</f>
        <v>2091577135.50148</v>
      </c>
      <c r="U168" s="9" t="n">
        <f aca="false">U164*'Unit Economics'!$E$8</f>
        <v>2259719803.17148</v>
      </c>
      <c r="V168" s="9" t="n">
        <f aca="false">V164*'Unit Economics'!$E$8</f>
        <v>2439166089.43226</v>
      </c>
      <c r="W168" s="9" t="n">
        <f aca="false">W164*'Unit Economics'!$E$8</f>
        <v>2631354297.5573</v>
      </c>
      <c r="X168" s="9" t="n">
        <f aca="false">X164*'Unit Economics'!$E$8</f>
        <v>2837875662.24851</v>
      </c>
      <c r="Y168" s="9" t="n">
        <f aca="false">Y164*'Unit Economics'!$E$8</f>
        <v>3060491315.23364</v>
      </c>
      <c r="Z168" s="9" t="n">
        <f aca="false">Z164*'Unit Economics'!$E$8</f>
        <v>3301151113.2004</v>
      </c>
      <c r="AA168" s="9" t="n">
        <f aca="false">AA164*'Unit Economics'!$E$8</f>
        <v>3562014533.02931</v>
      </c>
      <c r="AB168" s="64" t="n">
        <f aca="false">SUM(D168:O168)</f>
        <v>8612987481.65161</v>
      </c>
      <c r="AC168" s="64" t="n">
        <f aca="false">SUM(P168:AA168)</f>
        <v>29051296620.8661</v>
      </c>
      <c r="AD168" s="64" t="n">
        <f aca="false">SUM(C168:AA168)</f>
        <v>37664284102.5177</v>
      </c>
    </row>
    <row r="169" customFormat="false" ht="15" hidden="false" customHeight="false" outlineLevel="0" collapsed="false">
      <c r="A169" s="4" t="s">
        <v>691</v>
      </c>
      <c r="B169" s="2" t="s">
        <v>46</v>
      </c>
      <c r="D169" s="9" t="n">
        <f aca="false">D164*'Unit Economics'!$E$47</f>
        <v>11082240</v>
      </c>
      <c r="E169" s="9" t="n">
        <f aca="false">E164*'Unit Economics'!$E$47</f>
        <v>13821365.5387381</v>
      </c>
      <c r="F169" s="9" t="n">
        <f aca="false">F164*'Unit Economics'!$E$47</f>
        <v>16154392.4526383</v>
      </c>
      <c r="G169" s="9" t="n">
        <f aca="false">G164*'Unit Economics'!$E$47</f>
        <v>33049606.18752</v>
      </c>
      <c r="H169" s="9" t="n">
        <f aca="false">H164*'Unit Economics'!$E$47</f>
        <v>40782522.2495315</v>
      </c>
      <c r="I169" s="9" t="n">
        <f aca="false">I164*'Unit Economics'!$E$47</f>
        <v>46100212.2431247</v>
      </c>
      <c r="J169" s="9" t="n">
        <f aca="false">J164*'Unit Economics'!$E$47</f>
        <v>51568471.4360126</v>
      </c>
      <c r="K169" s="9" t="n">
        <f aca="false">K164*'Unit Economics'!$E$47</f>
        <v>57215634.0486877</v>
      </c>
      <c r="L169" s="9" t="n">
        <f aca="false">L164*'Unit Economics'!$E$47</f>
        <v>63072832.0553044</v>
      </c>
      <c r="M169" s="9" t="n">
        <f aca="false">M164*'Unit Economics'!$E$47</f>
        <v>69174311.5817687</v>
      </c>
      <c r="N169" s="9" t="n">
        <f aca="false">N164*'Unit Economics'!$E$47</f>
        <v>75557783.8733337</v>
      </c>
      <c r="O169" s="9" t="n">
        <f aca="false">O164*'Unit Economics'!$E$47</f>
        <v>82264814.6406948</v>
      </c>
      <c r="P169" s="9" t="n">
        <f aca="false">P164*'Unit Economics'!$E$47</f>
        <v>98007922.6790631</v>
      </c>
      <c r="Q169" s="9" t="n">
        <f aca="false">Q164*'Unit Economics'!$E$47</f>
        <v>106767125.786256</v>
      </c>
      <c r="R169" s="9" t="n">
        <f aca="false">R164*'Unit Economics'!$E$47</f>
        <v>115968052.448542</v>
      </c>
      <c r="S169" s="9" t="n">
        <f aca="false">S164*'Unit Economics'!$E$47</f>
        <v>125673432.7331</v>
      </c>
      <c r="T169" s="9" t="n">
        <f aca="false">T164*'Unit Economics'!$E$47</f>
        <v>135952513.807596</v>
      </c>
      <c r="U169" s="9" t="n">
        <f aca="false">U164*'Unit Economics'!$E$47</f>
        <v>146881787.206146</v>
      </c>
      <c r="V169" s="9" t="n">
        <f aca="false">V164*'Unit Economics'!$E$47</f>
        <v>158545795.813097</v>
      </c>
      <c r="W169" s="9" t="n">
        <f aca="false">W164*'Unit Economics'!$E$47</f>
        <v>171038029.341225</v>
      </c>
      <c r="X169" s="9" t="n">
        <f aca="false">X164*'Unit Economics'!$E$47</f>
        <v>184461918.046153</v>
      </c>
      <c r="Y169" s="9" t="n">
        <f aca="false">Y164*'Unit Economics'!$E$47</f>
        <v>198931935.490187</v>
      </c>
      <c r="Z169" s="9" t="n">
        <f aca="false">Z164*'Unit Economics'!$E$47</f>
        <v>214574822.358026</v>
      </c>
      <c r="AA169" s="9" t="n">
        <f aca="false">AA164*'Unit Economics'!$E$47</f>
        <v>231530944.646905</v>
      </c>
      <c r="AB169" s="64" t="n">
        <f aca="false">SUM(D169:O169)</f>
        <v>559844186.307355</v>
      </c>
      <c r="AC169" s="64" t="n">
        <f aca="false">SUM(P169:AA169)</f>
        <v>1888334280.3563</v>
      </c>
      <c r="AD169" s="64" t="n">
        <f aca="false">SUM(C169:AA169)</f>
        <v>2448178466.66365</v>
      </c>
    </row>
    <row r="170" customFormat="false" ht="15" hidden="false" customHeight="false" outlineLevel="0" collapsed="false">
      <c r="A170" s="4" t="s">
        <v>692</v>
      </c>
      <c r="B170" s="2" t="s">
        <v>46</v>
      </c>
      <c r="D170" s="9" t="n">
        <f aca="false">-D164*IF(D$5&lt;=6,Asumsi!$F$68,Asumsi!$F$69)*'Unit Economics'!$E$13</f>
        <v>-852480</v>
      </c>
      <c r="E170" s="9" t="n">
        <f aca="false">-E164*IF(E$5&lt;=6,Asumsi!$F$68,Asumsi!$F$69)*'Unit Economics'!$E$13</f>
        <v>-1063181.96451831</v>
      </c>
      <c r="F170" s="9" t="n">
        <f aca="false">-F164*IF(F$5&lt;=6,Asumsi!$F$68,Asumsi!$F$69)*'Unit Economics'!$E$13</f>
        <v>-1242645.57327987</v>
      </c>
      <c r="G170" s="9" t="n">
        <f aca="false">-G164*IF(G$5&lt;=6,Asumsi!$F$68,Asumsi!$F$69)*'Unit Economics'!$E$13</f>
        <v>-2542277.39904</v>
      </c>
      <c r="H170" s="9" t="n">
        <f aca="false">-H164*IF(H$5&lt;=6,Asumsi!$F$68,Asumsi!$F$69)*'Unit Economics'!$E$13</f>
        <v>-3137117.09611781</v>
      </c>
      <c r="I170" s="9" t="n">
        <f aca="false">-I164*IF(I$5&lt;=6,Asumsi!$F$68,Asumsi!$F$69)*'Unit Economics'!$E$13</f>
        <v>-3546170.17254805</v>
      </c>
      <c r="J170" s="9" t="n">
        <f aca="false">-J164*IF(J$5&lt;=6,Asumsi!$F$68,Asumsi!$F$69)*'Unit Economics'!$E$13</f>
        <v>-1190041.64852337</v>
      </c>
      <c r="K170" s="9" t="n">
        <f aca="false">-K164*IF(K$5&lt;=6,Asumsi!$F$68,Asumsi!$F$69)*'Unit Economics'!$E$13</f>
        <v>-1320360.78573895</v>
      </c>
      <c r="L170" s="9" t="n">
        <f aca="false">-L164*IF(L$5&lt;=6,Asumsi!$F$68,Asumsi!$F$69)*'Unit Economics'!$E$13</f>
        <v>-1455526.89358395</v>
      </c>
      <c r="M170" s="9" t="n">
        <f aca="false">-M164*IF(M$5&lt;=6,Asumsi!$F$68,Asumsi!$F$69)*'Unit Economics'!$E$13</f>
        <v>-1596330.26727158</v>
      </c>
      <c r="N170" s="9" t="n">
        <f aca="false">-N164*IF(N$5&lt;=6,Asumsi!$F$68,Asumsi!$F$69)*'Unit Economics'!$E$13</f>
        <v>-1743641.1663077</v>
      </c>
      <c r="O170" s="9" t="n">
        <f aca="false">-O164*IF(O$5&lt;=6,Asumsi!$F$68,Asumsi!$F$69)*'Unit Economics'!$E$13</f>
        <v>-1898418.79940065</v>
      </c>
      <c r="P170" s="9" t="n">
        <f aca="false">-P164*IF(P$5&lt;=6,Asumsi!$F$68,Asumsi!$F$69)*'Unit Economics'!$E$13</f>
        <v>-2261721.29259376</v>
      </c>
      <c r="Q170" s="9" t="n">
        <f aca="false">-Q164*IF(Q$5&lt;=6,Asumsi!$F$68,Asumsi!$F$69)*'Unit Economics'!$E$13</f>
        <v>-2463856.7489136</v>
      </c>
      <c r="R170" s="9" t="n">
        <f aca="false">-R164*IF(R$5&lt;=6,Asumsi!$F$68,Asumsi!$F$69)*'Unit Economics'!$E$13</f>
        <v>-2676185.82573558</v>
      </c>
      <c r="S170" s="9" t="n">
        <f aca="false">-S164*IF(S$5&lt;=6,Asumsi!$F$68,Asumsi!$F$69)*'Unit Economics'!$E$13</f>
        <v>-2900156.13999461</v>
      </c>
      <c r="T170" s="9" t="n">
        <f aca="false">-T164*IF(T$5&lt;=6,Asumsi!$F$68,Asumsi!$F$69)*'Unit Economics'!$E$13</f>
        <v>-3137365.70325222</v>
      </c>
      <c r="U170" s="9" t="n">
        <f aca="false">-U164*IF(U$5&lt;=6,Asumsi!$F$68,Asumsi!$F$69)*'Unit Economics'!$E$13</f>
        <v>-3389579.70475723</v>
      </c>
      <c r="V170" s="9" t="n">
        <f aca="false">-V164*IF(V$5&lt;=6,Asumsi!$F$68,Asumsi!$F$69)*'Unit Economics'!$E$13</f>
        <v>-3658749.13414839</v>
      </c>
      <c r="W170" s="9" t="n">
        <f aca="false">-W164*IF(W$5&lt;=6,Asumsi!$F$68,Asumsi!$F$69)*'Unit Economics'!$E$13</f>
        <v>-3947031.44633595</v>
      </c>
      <c r="X170" s="9" t="n">
        <f aca="false">-X164*IF(X$5&lt;=6,Asumsi!$F$68,Asumsi!$F$69)*'Unit Economics'!$E$13</f>
        <v>-4256813.49337277</v>
      </c>
      <c r="Y170" s="9" t="n">
        <f aca="false">-Y164*IF(Y$5&lt;=6,Asumsi!$F$68,Asumsi!$F$69)*'Unit Economics'!$E$13</f>
        <v>-4590736.97285046</v>
      </c>
      <c r="Z170" s="9" t="n">
        <f aca="false">-Z164*IF(Z$5&lt;=6,Asumsi!$F$68,Asumsi!$F$69)*'Unit Economics'!$E$13</f>
        <v>-4951726.6698006</v>
      </c>
      <c r="AA170" s="9" t="n">
        <f aca="false">-AA164*IF(AA$5&lt;=6,Asumsi!$F$68,Asumsi!$F$69)*'Unit Economics'!$E$13</f>
        <v>-5343021.79954397</v>
      </c>
      <c r="AB170" s="64" t="n">
        <f aca="false">SUM(D170:O170)</f>
        <v>-21588191.7663302</v>
      </c>
      <c r="AC170" s="64" t="n">
        <f aca="false">SUM(P170:AA170)</f>
        <v>-43576944.9312991</v>
      </c>
      <c r="AD170" s="64" t="n">
        <f aca="false">SUM(C170:AA170)</f>
        <v>-65165136.6976294</v>
      </c>
    </row>
    <row r="171" customFormat="false" ht="15" hidden="false" customHeight="false" outlineLevel="0" collapsed="false">
      <c r="A171" s="4" t="s">
        <v>693</v>
      </c>
      <c r="B171" s="2" t="s">
        <v>46</v>
      </c>
      <c r="D171" s="36" t="n">
        <f aca="false">-D155*D156</f>
        <v>-46060</v>
      </c>
      <c r="E171" s="36" t="n">
        <f aca="false">-E155*E156</f>
        <v>-103821.321807139</v>
      </c>
      <c r="F171" s="36" t="n">
        <f aca="false">-F155*F156</f>
        <v>-167497.932875055</v>
      </c>
      <c r="G171" s="36" t="n">
        <f aca="false">-G155*G156</f>
        <v>-233948.04858303</v>
      </c>
      <c r="H171" s="36" t="n">
        <f aca="false">-H155*H156</f>
        <v>-390828.548386083</v>
      </c>
      <c r="I171" s="36" t="n">
        <f aca="false">-I155*I156</f>
        <v>-564119.397636945</v>
      </c>
      <c r="J171" s="36" t="n">
        <f aca="false">-J155*J156</f>
        <v>-738867.229304553</v>
      </c>
      <c r="K171" s="36" t="n">
        <f aca="false">-K155*K156</f>
        <v>-915709.407252873</v>
      </c>
      <c r="L171" s="36" t="n">
        <f aca="false">-L155*L156</f>
        <v>-1095340.47607478</v>
      </c>
      <c r="M171" s="36" t="n">
        <f aca="false">-M155*M156</f>
        <v>-1278518.80135615</v>
      </c>
      <c r="N171" s="36" t="n">
        <f aca="false">-N155*N156</f>
        <v>-1466073.93087363</v>
      </c>
      <c r="O171" s="36" t="n">
        <f aca="false">-O155*O156</f>
        <v>-1658914.75628607</v>
      </c>
      <c r="P171" s="36" t="n">
        <f aca="false">-P155*P156</f>
        <v>-1858038.56362425</v>
      </c>
      <c r="Q171" s="36" t="n">
        <f aca="false">-Q155*Q156</f>
        <v>-2115718.84836814</v>
      </c>
      <c r="R171" s="36" t="n">
        <f aca="false">-R155*R156</f>
        <v>-2380596.19723102</v>
      </c>
      <c r="S171" s="36" t="n">
        <f aca="false">-S155*S156</f>
        <v>-2654035.39175717</v>
      </c>
      <c r="T171" s="36" t="n">
        <f aca="false">-T155*T156</f>
        <v>-2937535.80832904</v>
      </c>
      <c r="U171" s="36" t="n">
        <f aca="false">-U155*U156</f>
        <v>-3232746.6444931</v>
      </c>
      <c r="V171" s="36" t="n">
        <f aca="false">-V155*V156</f>
        <v>-3541483.80877535</v>
      </c>
      <c r="W171" s="36" t="n">
        <f aca="false">-W155*W156</f>
        <v>-3865748.65727938</v>
      </c>
      <c r="X171" s="36" t="n">
        <f aca="false">-X155*X156</f>
        <v>-4207748.78051392</v>
      </c>
      <c r="Y171" s="36" t="n">
        <f aca="false">-Y155*Y156</f>
        <v>-4569921.0662675</v>
      </c>
      <c r="Z171" s="36" t="n">
        <f aca="false">-Z155*Z156</f>
        <v>-4954957.28918032</v>
      </c>
      <c r="AA171" s="36" t="n">
        <f aca="false">-AA155*AA156</f>
        <v>-5365832.50522671</v>
      </c>
      <c r="AB171" s="64" t="n">
        <f aca="false">SUM(D171:O171)</f>
        <v>-8659699.85043631</v>
      </c>
      <c r="AC171" s="64" t="n">
        <f aca="false">SUM(P171:AA171)</f>
        <v>-41684363.5610459</v>
      </c>
      <c r="AD171" s="64" t="n">
        <f aca="false">SUM(C171:AA171)</f>
        <v>-50344063.4114822</v>
      </c>
    </row>
    <row r="172" customFormat="false" ht="15" hidden="false" customHeight="false" outlineLevel="0" collapsed="false">
      <c r="A172" s="4" t="s">
        <v>694</v>
      </c>
      <c r="B172" s="2" t="s">
        <v>46</v>
      </c>
      <c r="D172" s="9" t="n">
        <f aca="false">-D145*Asumsi!$F$100*Asumsi!$F$101*MIN(Asumsi!$F$99,Asumsi!$F$94/Asumsi!$F$98)*Asumsi!$F$102</f>
        <v>-150000</v>
      </c>
      <c r="E172" s="9" t="n">
        <f aca="false">-E145*Asumsi!$F$100*Asumsi!$F$101*MIN(Asumsi!$F$99,Asumsi!$F$94/Asumsi!$F$98)*Asumsi!$F$102</f>
        <v>-168000</v>
      </c>
      <c r="F172" s="9" t="n">
        <f aca="false">-F145*Asumsi!$F$100*Asumsi!$F$101*MIN(Asumsi!$F$99,Asumsi!$F$94/Asumsi!$F$98)*Asumsi!$F$102</f>
        <v>-188160</v>
      </c>
      <c r="G172" s="9" t="n">
        <f aca="false">-G145*Asumsi!$F$100*Asumsi!$F$101*MIN(Asumsi!$F$99,Asumsi!$F$94/Asumsi!$F$98)*Asumsi!$F$102</f>
        <v>-210739.2</v>
      </c>
      <c r="H172" s="9" t="n">
        <f aca="false">-H145*Asumsi!$F$100*Asumsi!$F$101*MIN(Asumsi!$F$99,Asumsi!$F$94/Asumsi!$F$98)*Asumsi!$F$102</f>
        <v>-236027.904</v>
      </c>
      <c r="I172" s="9" t="n">
        <f aca="false">-I145*Asumsi!$F$100*Asumsi!$F$101*MIN(Asumsi!$F$99,Asumsi!$F$94/Asumsi!$F$98)*Asumsi!$F$102</f>
        <v>-264351.25248</v>
      </c>
      <c r="J172" s="9" t="n">
        <f aca="false">-J145*Asumsi!$F$100*Asumsi!$F$101*MIN(Asumsi!$F$99,Asumsi!$F$94/Asumsi!$F$98)*Asumsi!$F$102</f>
        <v>-296073.4027776</v>
      </c>
      <c r="K172" s="9" t="n">
        <f aca="false">-K145*Asumsi!$F$100*Asumsi!$F$101*MIN(Asumsi!$F$99,Asumsi!$F$94/Asumsi!$F$98)*Asumsi!$F$102</f>
        <v>-331602.211110912</v>
      </c>
      <c r="L172" s="9" t="n">
        <f aca="false">-L145*Asumsi!$F$100*Asumsi!$F$101*MIN(Asumsi!$F$99,Asumsi!$F$94/Asumsi!$F$98)*Asumsi!$F$102</f>
        <v>-371394.476444222</v>
      </c>
      <c r="M172" s="9" t="n">
        <f aca="false">-M145*Asumsi!$F$100*Asumsi!$F$101*MIN(Asumsi!$F$99,Asumsi!$F$94/Asumsi!$F$98)*Asumsi!$F$102</f>
        <v>-415961.813617528</v>
      </c>
      <c r="N172" s="9" t="n">
        <f aca="false">-N145*Asumsi!$F$100*Asumsi!$F$101*MIN(Asumsi!$F$99,Asumsi!$F$94/Asumsi!$F$98)*Asumsi!$F$102</f>
        <v>-465877.231251632</v>
      </c>
      <c r="O172" s="9" t="n">
        <f aca="false">-O145*Asumsi!$F$100*Asumsi!$F$101*MIN(Asumsi!$F$99,Asumsi!$F$94/Asumsi!$F$98)*Asumsi!$F$102</f>
        <v>-521782.499001828</v>
      </c>
      <c r="P172" s="9" t="n">
        <f aca="false">-P145*Asumsi!$F$100*Asumsi!$F$101*MIN(Asumsi!$F$99,Asumsi!$F$94/Asumsi!$F$98)*Asumsi!$F$102</f>
        <v>-584396.398882047</v>
      </c>
      <c r="Q172" s="9" t="n">
        <f aca="false">-Q145*Asumsi!$F$100*Asumsi!$F$101*MIN(Asumsi!$F$99,Asumsi!$F$94/Asumsi!$F$98)*Asumsi!$F$102</f>
        <v>-654523.966747893</v>
      </c>
      <c r="R172" s="9" t="n">
        <f aca="false">-R145*Asumsi!$F$100*Asumsi!$F$101*MIN(Asumsi!$F$99,Asumsi!$F$94/Asumsi!$F$98)*Asumsi!$F$102</f>
        <v>-733066.84275764</v>
      </c>
      <c r="S172" s="9" t="n">
        <f aca="false">-S145*Asumsi!$F$100*Asumsi!$F$101*MIN(Asumsi!$F$99,Asumsi!$F$94/Asumsi!$F$98)*Asumsi!$F$102</f>
        <v>-821034.863888557</v>
      </c>
      <c r="T172" s="9" t="n">
        <f aca="false">-T145*Asumsi!$F$100*Asumsi!$F$101*MIN(Asumsi!$F$99,Asumsi!$F$94/Asumsi!$F$98)*Asumsi!$F$102</f>
        <v>-919559.047555184</v>
      </c>
      <c r="U172" s="9" t="n">
        <f aca="false">-U145*Asumsi!$F$100*Asumsi!$F$101*MIN(Asumsi!$F$99,Asumsi!$F$94/Asumsi!$F$98)*Asumsi!$F$102</f>
        <v>-1029906.13326181</v>
      </c>
      <c r="V172" s="9" t="n">
        <f aca="false">-V145*Asumsi!$F$100*Asumsi!$F$101*MIN(Asumsi!$F$99,Asumsi!$F$94/Asumsi!$F$98)*Asumsi!$F$102</f>
        <v>-1153494.86925322</v>
      </c>
      <c r="W172" s="9" t="n">
        <f aca="false">-W145*Asumsi!$F$100*Asumsi!$F$101*MIN(Asumsi!$F$99,Asumsi!$F$94/Asumsi!$F$98)*Asumsi!$F$102</f>
        <v>-1291914.25356361</v>
      </c>
      <c r="X172" s="9" t="n">
        <f aca="false">-X145*Asumsi!$F$100*Asumsi!$F$101*MIN(Asumsi!$F$99,Asumsi!$F$94/Asumsi!$F$98)*Asumsi!$F$102</f>
        <v>-1446943.96399124</v>
      </c>
      <c r="Y172" s="9" t="n">
        <f aca="false">-Y145*Asumsi!$F$100*Asumsi!$F$101*MIN(Asumsi!$F$99,Asumsi!$F$94/Asumsi!$F$98)*Asumsi!$F$102</f>
        <v>-1620577.23967019</v>
      </c>
      <c r="Z172" s="9" t="n">
        <f aca="false">-Z145*Asumsi!$F$100*Asumsi!$F$101*MIN(Asumsi!$F$99,Asumsi!$F$94/Asumsi!$F$98)*Asumsi!$F$102</f>
        <v>-1815046.50843062</v>
      </c>
      <c r="AA172" s="9" t="n">
        <f aca="false">-AA145*Asumsi!$F$100*Asumsi!$F$101*MIN(Asumsi!$F$99,Asumsi!$F$94/Asumsi!$F$98)*Asumsi!$F$102</f>
        <v>-2032852.08944229</v>
      </c>
      <c r="AB172" s="64" t="n">
        <f aca="false">SUM(D172:O172)</f>
        <v>-3619969.99068372</v>
      </c>
      <c r="AC172" s="64" t="n">
        <f aca="false">SUM(P172:AA172)</f>
        <v>-14103316.1774443</v>
      </c>
      <c r="AD172" s="64" t="n">
        <f aca="false">SUM(C172:AA172)</f>
        <v>-17723286.168128</v>
      </c>
    </row>
    <row r="173" customFormat="false" ht="15" hidden="false" customHeight="false" outlineLevel="0" collapsed="false">
      <c r="A173" s="25" t="s">
        <v>695</v>
      </c>
      <c r="B173" s="2" t="s">
        <v>46</v>
      </c>
      <c r="C173" s="64" t="n">
        <f aca="false">SUM(C169:C172)</f>
        <v>0</v>
      </c>
      <c r="D173" s="64" t="n">
        <f aca="false">SUM(D169:D172)</f>
        <v>10033700</v>
      </c>
      <c r="E173" s="64" t="n">
        <f aca="false">SUM(E169:E172)</f>
        <v>12486362.2524126</v>
      </c>
      <c r="F173" s="64" t="n">
        <f aca="false">SUM(F169:F172)</f>
        <v>14556088.9464833</v>
      </c>
      <c r="G173" s="64" t="n">
        <f aca="false">SUM(G169:G172)</f>
        <v>30062641.539897</v>
      </c>
      <c r="H173" s="64" t="n">
        <f aca="false">SUM(H169:H172)</f>
        <v>37018548.7010276</v>
      </c>
      <c r="I173" s="64" t="n">
        <f aca="false">SUM(I169:I172)</f>
        <v>41725571.4204597</v>
      </c>
      <c r="J173" s="64" t="n">
        <f aca="false">SUM(J169:J172)</f>
        <v>49343489.1554071</v>
      </c>
      <c r="K173" s="64" t="n">
        <f aca="false">SUM(K169:K172)</f>
        <v>54647961.644585</v>
      </c>
      <c r="L173" s="64" t="n">
        <f aca="false">SUM(L169:L172)</f>
        <v>60150570.2092014</v>
      </c>
      <c r="M173" s="64" t="n">
        <f aca="false">SUM(M169:M172)</f>
        <v>65883500.6995234</v>
      </c>
      <c r="N173" s="64" t="n">
        <f aca="false">SUM(N169:N172)</f>
        <v>71882191.5449008</v>
      </c>
      <c r="O173" s="64" t="n">
        <f aca="false">SUM(O169:O172)</f>
        <v>78185698.5860062</v>
      </c>
      <c r="P173" s="64" t="n">
        <f aca="false">SUM(P169:P172)</f>
        <v>93303766.4239631</v>
      </c>
      <c r="Q173" s="64" t="n">
        <f aca="false">SUM(Q169:Q172)</f>
        <v>101533026.222226</v>
      </c>
      <c r="R173" s="64" t="n">
        <f aca="false">SUM(R169:R172)</f>
        <v>110178203.582817</v>
      </c>
      <c r="S173" s="64" t="n">
        <f aca="false">SUM(S169:S172)</f>
        <v>119298206.337459</v>
      </c>
      <c r="T173" s="64" t="n">
        <f aca="false">SUM(T169:T172)</f>
        <v>128958053.24846</v>
      </c>
      <c r="U173" s="64" t="n">
        <f aca="false">SUM(U169:U172)</f>
        <v>139229554.723634</v>
      </c>
      <c r="V173" s="64" t="n">
        <f aca="false">SUM(V169:V172)</f>
        <v>150192068.00092</v>
      </c>
      <c r="W173" s="64" t="n">
        <f aca="false">SUM(W169:W172)</f>
        <v>161933334.984046</v>
      </c>
      <c r="X173" s="64" t="n">
        <f aca="false">SUM(X169:X172)</f>
        <v>174550411.808275</v>
      </c>
      <c r="Y173" s="64" t="n">
        <f aca="false">SUM(Y169:Y172)</f>
        <v>188150700.211398</v>
      </c>
      <c r="Z173" s="64" t="n">
        <f aca="false">SUM(Z169:Z172)</f>
        <v>202853091.890614</v>
      </c>
      <c r="AA173" s="64" t="n">
        <f aca="false">SUM(AA169:AA172)</f>
        <v>218789238.252692</v>
      </c>
      <c r="AB173" s="64" t="n">
        <f aca="false">SUM(D173:O173)</f>
        <v>525976324.699904</v>
      </c>
      <c r="AC173" s="64" t="n">
        <f aca="false">SUM(P173:AA173)</f>
        <v>1788969655.68651</v>
      </c>
      <c r="AD173" s="64" t="n">
        <f aca="false">SUM(C173:AA173)</f>
        <v>2314945980.38641</v>
      </c>
    </row>
    <row r="174" customFormat="false" ht="15" hidden="false" customHeight="false" outlineLevel="0" collapsed="false">
      <c r="A174" s="4" t="s">
        <v>696</v>
      </c>
      <c r="B174" s="2" t="s">
        <v>25</v>
      </c>
      <c r="D174" s="38" t="n">
        <f aca="false">IF(D167&gt;0,D169/D167,0)</f>
        <v>0.0444719774790184</v>
      </c>
      <c r="E174" s="38" t="n">
        <f aca="false">IF(E167&gt;0,E169/E167,0)</f>
        <v>0.0444719774790184</v>
      </c>
      <c r="F174" s="38" t="n">
        <f aca="false">IF(F167&gt;0,F169/F167,0)</f>
        <v>0.0444719774790184</v>
      </c>
      <c r="G174" s="38" t="n">
        <f aca="false">IF(G167&gt;0,G169/G167,0)</f>
        <v>0.0444719774790184</v>
      </c>
      <c r="H174" s="38" t="n">
        <f aca="false">IF(H167&gt;0,H169/H167,0)</f>
        <v>0.0444719774790184</v>
      </c>
      <c r="I174" s="38" t="n">
        <f aca="false">IF(I167&gt;0,I169/I167,0)</f>
        <v>0.0444719774790184</v>
      </c>
      <c r="J174" s="38" t="n">
        <f aca="false">IF(J167&gt;0,J169/J167,0)</f>
        <v>0.0444719774790184</v>
      </c>
      <c r="K174" s="38" t="n">
        <f aca="false">IF(K167&gt;0,K169/K167,0)</f>
        <v>0.0444719774790184</v>
      </c>
      <c r="L174" s="38" t="n">
        <f aca="false">IF(L167&gt;0,L169/L167,0)</f>
        <v>0.0444719774790184</v>
      </c>
      <c r="M174" s="38" t="n">
        <f aca="false">IF(M167&gt;0,M169/M167,0)</f>
        <v>0.0444719774790184</v>
      </c>
      <c r="N174" s="38" t="n">
        <f aca="false">IF(N167&gt;0,N169/N167,0)</f>
        <v>0.0444719774790184</v>
      </c>
      <c r="O174" s="38" t="n">
        <f aca="false">IF(O167&gt;0,O169/O167,0)</f>
        <v>0.0444719774790184</v>
      </c>
      <c r="P174" s="38" t="n">
        <f aca="false">IF(P167&gt;0,P169/P167,0)</f>
        <v>0.0444719774790184</v>
      </c>
      <c r="Q174" s="38" t="n">
        <f aca="false">IF(Q167&gt;0,Q169/Q167,0)</f>
        <v>0.0444719774790184</v>
      </c>
      <c r="R174" s="38" t="n">
        <f aca="false">IF(R167&gt;0,R169/R167,0)</f>
        <v>0.0444719774790184</v>
      </c>
      <c r="S174" s="38" t="n">
        <f aca="false">IF(S167&gt;0,S169/S167,0)</f>
        <v>0.0444719774790184</v>
      </c>
      <c r="T174" s="38" t="n">
        <f aca="false">IF(T167&gt;0,T169/T167,0)</f>
        <v>0.0444719774790184</v>
      </c>
      <c r="U174" s="38" t="n">
        <f aca="false">IF(U167&gt;0,U169/U167,0)</f>
        <v>0.0444719774790184</v>
      </c>
      <c r="V174" s="38" t="n">
        <f aca="false">IF(V167&gt;0,V169/V167,0)</f>
        <v>0.0444719774790184</v>
      </c>
      <c r="W174" s="38" t="n">
        <f aca="false">IF(W167&gt;0,W169/W167,0)</f>
        <v>0.0444719774790184</v>
      </c>
      <c r="X174" s="38" t="n">
        <f aca="false">IF(X167&gt;0,X169/X167,0)</f>
        <v>0.0444719774790184</v>
      </c>
      <c r="Y174" s="38" t="n">
        <f aca="false">IF(Y167&gt;0,Y169/Y167,0)</f>
        <v>0.0444719774790184</v>
      </c>
      <c r="Z174" s="38" t="n">
        <f aca="false">IF(Z167&gt;0,Z169/Z167,0)</f>
        <v>0.0444719774790184</v>
      </c>
      <c r="AA174" s="38" t="n">
        <f aca="false">IF(AA167&gt;0,AA169/AA167,0)</f>
        <v>0.0444719774790184</v>
      </c>
      <c r="AB174" s="66" t="n">
        <f aca="false">IF(AB167&gt;0,AB169/AB167,0)</f>
        <v>0.0444719774790184</v>
      </c>
      <c r="AC174" s="66" t="n">
        <f aca="false">IF(AC167&gt;0,AC169/AC167,0)</f>
        <v>0.0444719774790184</v>
      </c>
      <c r="AD174" s="66" t="n">
        <f aca="false">IF(AD167&gt;0,AD169/AD167,0)</f>
        <v>0.0444719774790184</v>
      </c>
    </row>
    <row r="175" customFormat="false" ht="15" hidden="false" customHeight="false" outlineLevel="0" collapsed="false">
      <c r="A175" s="4" t="s">
        <v>569</v>
      </c>
      <c r="B175" s="2" t="s">
        <v>25</v>
      </c>
      <c r="D175" s="38" t="n">
        <f aca="false">IF(D167&gt;0,D173/D167,0)</f>
        <v>0.0402642859594475</v>
      </c>
      <c r="E175" s="38" t="n">
        <f aca="false">IF(E167&gt;0,E173/E167,0)</f>
        <v>0.0401764369322121</v>
      </c>
      <c r="F175" s="38" t="n">
        <f aca="false">IF(F167&gt;0,F173/F167,0)</f>
        <v>0.0400719532912472</v>
      </c>
      <c r="G175" s="38" t="n">
        <f aca="false">IF(G167&gt;0,G173/G167,0)</f>
        <v>0.0404526792221491</v>
      </c>
      <c r="H175" s="38" t="n">
        <f aca="false">IF(H167&gt;0,H173/H167,0)</f>
        <v>0.0403674901239577</v>
      </c>
      <c r="I175" s="38" t="n">
        <f aca="false">IF(I167&gt;0,I173/I167,0)</f>
        <v>0.0402518466232572</v>
      </c>
      <c r="J175" s="38" t="n">
        <f aca="false">IF(J167&gt;0,J173/J167,0)</f>
        <v>0.0425531817668538</v>
      </c>
      <c r="K175" s="38" t="n">
        <f aca="false">IF(K167&gt;0,K173/K167,0)</f>
        <v>0.0424762035751308</v>
      </c>
      <c r="L175" s="38" t="n">
        <f aca="false">IF(L167&gt;0,L173/L167,0)</f>
        <v>0.0424115219901364</v>
      </c>
      <c r="M175" s="38" t="n">
        <f aca="false">IF(M167&gt;0,M173/M167,0)</f>
        <v>0.0423563240797081</v>
      </c>
      <c r="N175" s="38" t="n">
        <f aca="false">IF(N167&gt;0,N173/N167,0)</f>
        <v>0.0423085887337086</v>
      </c>
      <c r="O175" s="38" t="n">
        <f aca="false">IF(O167&gt;0,O173/O167,0)</f>
        <v>0.0422668262474654</v>
      </c>
      <c r="P175" s="38" t="n">
        <f aca="false">IF(P167&gt;0,P173/P167,0)</f>
        <v>0.0423374242172413</v>
      </c>
      <c r="Q175" s="38" t="n">
        <f aca="false">IF(Q167&gt;0,Q173/Q167,0)</f>
        <v>0.042291804919157</v>
      </c>
      <c r="R175" s="38" t="n">
        <f aca="false">IF(R167&gt;0,R173/R167,0)</f>
        <v>0.0422516588401617</v>
      </c>
      <c r="S175" s="38" t="n">
        <f aca="false">IF(S167&gt;0,S173/S167,0)</f>
        <v>0.0422159801809046</v>
      </c>
      <c r="T175" s="38" t="n">
        <f aca="false">IF(T167&gt;0,T173/T167,0)</f>
        <v>0.0421839911538519</v>
      </c>
      <c r="U175" s="38" t="n">
        <f aca="false">IF(U167&gt;0,U173/U167,0)</f>
        <v>0.0421550808977638</v>
      </c>
      <c r="V175" s="38" t="n">
        <f aca="false">IF(V167&gt;0,V173/V167,0)</f>
        <v>0.0421287630580764</v>
      </c>
      <c r="W175" s="38" t="n">
        <f aca="false">IF(W167&gt;0,W173/W167,0)</f>
        <v>0.0421046456992654</v>
      </c>
      <c r="X175" s="38" t="n">
        <f aca="false">IF(X167&gt;0,X173/X167,0)</f>
        <v>0.0420824095570164</v>
      </c>
      <c r="Y175" s="38" t="n">
        <f aca="false">IF(Y167&gt;0,Y173/Y167,0)</f>
        <v>0.0420617920488469</v>
      </c>
      <c r="Z175" s="38" t="n">
        <f aca="false">IF(Z167&gt;0,Z173/Z167,0)</f>
        <v>0.0420425753355924</v>
      </c>
      <c r="AA175" s="38" t="n">
        <f aca="false">IF(AA167&gt;0,AA173/AA167,0)</f>
        <v>0.0420245772808641</v>
      </c>
      <c r="AB175" s="66" t="n">
        <f aca="false">IF(AB167&gt;0,AB173/AB167,0)</f>
        <v>0.0417816382462338</v>
      </c>
      <c r="AC175" s="66" t="n">
        <f aca="false">IF(AC167&gt;0,AC173/AC167,0)</f>
        <v>0.0421318508412219</v>
      </c>
      <c r="AD175" s="66" t="n">
        <f aca="false">IF(AD167&gt;0,AD173/AD167,0)</f>
        <v>0.042051764978224</v>
      </c>
    </row>
    <row r="176" customFormat="false" ht="15" hidden="false" customHeight="false" outlineLevel="0" collapsed="false">
      <c r="A176" s="4" t="s">
        <v>697</v>
      </c>
      <c r="B176" s="2" t="s">
        <v>698</v>
      </c>
      <c r="D176" s="36" t="n">
        <f aca="false">IF(D164&gt;0,-(D171+D172)/D164,0)</f>
        <v>2874.84750375375</v>
      </c>
      <c r="E176" s="36" t="n">
        <f aca="false">IF(E164&gt;0,-(E171+E172)/E164,0)</f>
        <v>3195.84665276808</v>
      </c>
      <c r="F176" s="36" t="n">
        <f aca="false">IF(F164&gt;0,-(F171+F172)/F164,0)</f>
        <v>3577.62845378674</v>
      </c>
      <c r="G176" s="36" t="n">
        <f aca="false">IF(G164&gt;0,-(G171+G172)/G164,0)</f>
        <v>2186.46108775812</v>
      </c>
      <c r="H176" s="36" t="n">
        <f aca="false">IF(H164&gt;0,-(H171+H172)/H164,0)</f>
        <v>2497.74089227424</v>
      </c>
      <c r="I176" s="36" t="n">
        <f aca="false">IF(I164&gt;0,-(I171+I172)/I164,0)</f>
        <v>2920.3006687693</v>
      </c>
      <c r="J176" s="36" t="n">
        <f aca="false">IF(J164&gt;0,-(J171+J172)/J164,0)</f>
        <v>3261.25339825186</v>
      </c>
      <c r="K176" s="36" t="n">
        <f aca="false">IF(K164&gt;0,-(K171+K172)/K164,0)</f>
        <v>3542.53066236472</v>
      </c>
      <c r="L176" s="36" t="n">
        <f aca="false">IF(L164&gt;0,-(L171+L172)/L164,0)</f>
        <v>3778.8762929711</v>
      </c>
      <c r="M176" s="36" t="n">
        <f aca="false">IF(M164&gt;0,-(M171+M172)/M164,0)</f>
        <v>3980.5687058806</v>
      </c>
      <c r="N176" s="36" t="n">
        <f aca="false">IF(N164&gt;0,-(N171+N172)/N164,0)</f>
        <v>4154.99301000746</v>
      </c>
      <c r="O176" s="36" t="n">
        <f aca="false">IF(O164&gt;0,-(O171+O172)/O164,0)</f>
        <v>4307.59256593508</v>
      </c>
      <c r="P176" s="36" t="n">
        <f aca="false">IF(P164&gt;0,-(P171+P172)/P164,0)</f>
        <v>4049.62854591816</v>
      </c>
      <c r="Q176" s="36" t="n">
        <f aca="false">IF(Q164&gt;0,-(Q171+Q172)/Q164,0)</f>
        <v>4216.32083978329</v>
      </c>
      <c r="R176" s="36" t="n">
        <f aca="false">IF(R164&gt;0,-(R171+R172)/R164,0)</f>
        <v>4363.01406564252</v>
      </c>
      <c r="S176" s="36" t="n">
        <f aca="false">IF(S164&gt;0,-(S171+S172)/S164,0)</f>
        <v>4493.38340062467</v>
      </c>
      <c r="T176" s="36" t="n">
        <f aca="false">IF(T164&gt;0,-(T171+T172)/T164,0)</f>
        <v>4610.27086978486</v>
      </c>
      <c r="U176" s="36" t="n">
        <f aca="false">IF(U164&gt;0,-(U171+U172)/U164,0)</f>
        <v>4715.90855177303</v>
      </c>
      <c r="V176" s="36" t="n">
        <f aca="false">IF(V164&gt;0,-(V171+V172)/V164,0)</f>
        <v>4812.07357954187</v>
      </c>
      <c r="W176" s="36" t="n">
        <f aca="false">IF(W164&gt;0,-(W171+W172)/W164,0)</f>
        <v>4900.19808015864</v>
      </c>
      <c r="X176" s="36" t="n">
        <f aca="false">IF(X164&gt;0,-(X171+X172)/X164,0)</f>
        <v>4981.44864108037</v>
      </c>
      <c r="Y176" s="36" t="n">
        <f aca="false">IF(Y164&gt;0,-(Y171+Y172)/Y164,0)</f>
        <v>5056.78473512112</v>
      </c>
      <c r="Z176" s="36" t="n">
        <f aca="false">IF(Z164&gt;0,-(Z171+Z172)/Z164,0)</f>
        <v>5127.00234362155</v>
      </c>
      <c r="AA176" s="36" t="n">
        <f aca="false">IF(AA164&gt;0,-(AA171+AA172)/AA164,0)</f>
        <v>5192.76699046536</v>
      </c>
      <c r="AB176" s="64" t="n">
        <f aca="false">IF(AB164&gt;0,-(AB171+AB172)/AB164,0)</f>
        <v>3564.2887753174</v>
      </c>
      <c r="AC176" s="64" t="n">
        <f aca="false">IF(AC164&gt;0,-(AC171+AC172)/AC164,0)</f>
        <v>4800.79086198348</v>
      </c>
      <c r="AD176" s="64" t="n">
        <f aca="false">IF(AD164&gt;0,-(AD171+AD172)/AD164,0)</f>
        <v>4518.03022422642</v>
      </c>
    </row>
    <row r="177" customFormat="false" ht="15" hidden="false" customHeight="false" outlineLevel="0" collapsed="false">
      <c r="A177" s="7" t="s">
        <v>699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customFormat="false" ht="15" hidden="false" customHeight="false" outlineLevel="0" collapsed="false">
      <c r="A178" s="4" t="s">
        <v>700</v>
      </c>
      <c r="B178" s="2" t="s">
        <v>46</v>
      </c>
      <c r="D178" s="9" t="n">
        <f aca="false">D164*'Unit Economics'!$E$35</f>
        <v>1127192.702976</v>
      </c>
      <c r="E178" s="9" t="n">
        <f aca="false">E164*'Unit Economics'!$E$35</f>
        <v>1405793.6284027</v>
      </c>
      <c r="F178" s="9" t="n">
        <f aca="false">F164*'Unit Economics'!$E$35</f>
        <v>1643089.60044399</v>
      </c>
      <c r="G178" s="9" t="n">
        <f aca="false">G164*'Unit Economics'!$E$35</f>
        <v>3361529.34161352</v>
      </c>
      <c r="H178" s="9" t="n">
        <f aca="false">H164*'Unit Economics'!$E$35</f>
        <v>4148056.84488228</v>
      </c>
      <c r="I178" s="9" t="n">
        <f aca="false">I164*'Unit Economics'!$E$35</f>
        <v>4688927.76605587</v>
      </c>
      <c r="J178" s="9" t="n">
        <f aca="false">J164*'Unit Economics'!$E$35</f>
        <v>5245113.32603334</v>
      </c>
      <c r="K178" s="9" t="n">
        <f aca="false">K164*'Unit Economics'!$E$35</f>
        <v>5819495.44458756</v>
      </c>
      <c r="L178" s="9" t="n">
        <f aca="false">L164*'Unit Economics'!$E$35</f>
        <v>6415240.60557882</v>
      </c>
      <c r="M178" s="9" t="n">
        <f aca="false">M164*'Unit Economics'!$E$35</f>
        <v>7035832.03832058</v>
      </c>
      <c r="N178" s="9" t="n">
        <f aca="false">N164*'Unit Economics'!$E$35</f>
        <v>7685105.41506586</v>
      </c>
      <c r="O178" s="9" t="n">
        <f aca="false">O164*'Unit Economics'!$E$35</f>
        <v>8367288.45203356</v>
      </c>
      <c r="P178" s="9" t="n">
        <f aca="false">P164*'Unit Economics'!$E$35</f>
        <v>9968545.64399219</v>
      </c>
      <c r="Q178" s="9" t="n">
        <f aca="false">Q164*'Unit Economics'!$E$35</f>
        <v>10859458.4762637</v>
      </c>
      <c r="R178" s="9" t="n">
        <f aca="false">R164*'Unit Economics'!$E$35</f>
        <v>11795299.7316729</v>
      </c>
      <c r="S178" s="9" t="n">
        <f aca="false">S164*'Unit Economics'!$E$35</f>
        <v>12782449.7876508</v>
      </c>
      <c r="T178" s="9" t="n">
        <f aca="false">T164*'Unit Economics'!$E$35</f>
        <v>13827951.886547</v>
      </c>
      <c r="U178" s="9" t="n">
        <f aca="false">U164*'Unit Economics'!$E$35</f>
        <v>14939586.1070363</v>
      </c>
      <c r="V178" s="9" t="n">
        <f aca="false">V164*'Unit Economics'!$E$35</f>
        <v>16125951.4437555</v>
      </c>
      <c r="W178" s="9" t="n">
        <f aca="false">W164*'Unit Economics'!$E$35</f>
        <v>17396556.8878515</v>
      </c>
      <c r="X178" s="9" t="n">
        <f aca="false">X164*'Unit Economics'!$E$35</f>
        <v>18761922.4992944</v>
      </c>
      <c r="Y178" s="9" t="n">
        <f aca="false">Y164*'Unit Economics'!$E$35</f>
        <v>20233691.5707863</v>
      </c>
      <c r="Z178" s="9" t="n">
        <f aca="false">Z164*'Unit Economics'!$E$35</f>
        <v>21824755.1040528</v>
      </c>
      <c r="AA178" s="9" t="n">
        <f aca="false">AA164*'Unit Economics'!$E$35</f>
        <v>23549389.9535772</v>
      </c>
      <c r="AB178" s="64" t="n">
        <f aca="false">SUM(D178:O178)</f>
        <v>56942665.1659941</v>
      </c>
      <c r="AC178" s="64" t="n">
        <f aca="false">SUM(P178:AA178)</f>
        <v>192065559.092481</v>
      </c>
      <c r="AD178" s="64" t="n">
        <f aca="false">SUM(C178:AA178)</f>
        <v>249008224.258475</v>
      </c>
    </row>
    <row r="179" customFormat="false" ht="15" hidden="false" customHeight="false" outlineLevel="0" collapsed="false">
      <c r="A179" s="4" t="s">
        <v>701</v>
      </c>
      <c r="B179" s="2" t="s">
        <v>46</v>
      </c>
      <c r="D179" s="9" t="n">
        <f aca="false">-D164*'Unit Economics'!$E$52</f>
        <v>340651.008</v>
      </c>
      <c r="E179" s="9" t="n">
        <f aca="false">-E164*'Unit Economics'!$E$52</f>
        <v>424847.513021517</v>
      </c>
      <c r="F179" s="9" t="n">
        <f aca="false">-F164*'Unit Economics'!$E$52</f>
        <v>496561.171082634</v>
      </c>
      <c r="G179" s="9" t="n">
        <f aca="false">-G164*'Unit Economics'!$E$52</f>
        <v>1015894.04865638</v>
      </c>
      <c r="H179" s="9" t="n">
        <f aca="false">-H164*'Unit Economics'!$E$52</f>
        <v>1253591.99160867</v>
      </c>
      <c r="I179" s="9" t="n">
        <f aca="false">-I164*'Unit Economics'!$E$52</f>
        <v>1417049.6009502</v>
      </c>
      <c r="J179" s="9" t="n">
        <f aca="false">-J164*'Unit Economics'!$E$52</f>
        <v>1585135.47583313</v>
      </c>
      <c r="K179" s="9" t="n">
        <f aca="false">-K164*'Unit Economics'!$E$52</f>
        <v>1758720.56660428</v>
      </c>
      <c r="L179" s="9" t="n">
        <f aca="false">-L164*'Unit Economics'!$E$52</f>
        <v>1938761.82225382</v>
      </c>
      <c r="M179" s="9" t="n">
        <f aca="false">-M164*'Unit Economics'!$E$52</f>
        <v>2126311.91600575</v>
      </c>
      <c r="N179" s="9" t="n">
        <f aca="false">-N164*'Unit Economics'!$E$52</f>
        <v>2322530.03352186</v>
      </c>
      <c r="O179" s="9" t="n">
        <f aca="false">-O164*'Unit Economics'!$E$52</f>
        <v>2528693.84080166</v>
      </c>
      <c r="P179" s="9" t="n">
        <f aca="false">-P164*'Unit Economics'!$E$52</f>
        <v>3012612.76173489</v>
      </c>
      <c r="Q179" s="9" t="n">
        <f aca="false">-Q164*'Unit Economics'!$E$52</f>
        <v>3281857.18955292</v>
      </c>
      <c r="R179" s="9" t="n">
        <f aca="false">-R164*'Unit Economics'!$E$52</f>
        <v>3564679.51987979</v>
      </c>
      <c r="S179" s="9" t="n">
        <f aca="false">-S164*'Unit Economics'!$E$52</f>
        <v>3863007.97847282</v>
      </c>
      <c r="T179" s="9" t="n">
        <f aca="false">-T164*'Unit Economics'!$E$52</f>
        <v>4178971.11673196</v>
      </c>
      <c r="U179" s="9" t="n">
        <f aca="false">-U164*'Unit Economics'!$E$52</f>
        <v>4514920.16673662</v>
      </c>
      <c r="V179" s="9" t="n">
        <f aca="false">-V164*'Unit Economics'!$E$52</f>
        <v>4873453.84668565</v>
      </c>
      <c r="W179" s="9" t="n">
        <f aca="false">-W164*'Unit Economics'!$E$52</f>
        <v>5257445.88651949</v>
      </c>
      <c r="X179" s="9" t="n">
        <f aca="false">-X164*'Unit Economics'!$E$52</f>
        <v>5670075.57317253</v>
      </c>
      <c r="Y179" s="9" t="n">
        <f aca="false">-Y164*'Unit Economics'!$E$52</f>
        <v>6114861.64783681</v>
      </c>
      <c r="Z179" s="9" t="n">
        <f aca="false">-Z164*'Unit Economics'!$E$52</f>
        <v>6595699.92417439</v>
      </c>
      <c r="AA179" s="9" t="n">
        <f aca="false">-AA164*'Unit Economics'!$E$52</f>
        <v>7116905.03699257</v>
      </c>
      <c r="AB179" s="64" t="n">
        <f aca="false">SUM(D179:O179)</f>
        <v>17208748.9883399</v>
      </c>
      <c r="AC179" s="64" t="n">
        <f aca="false">SUM(P179:AA179)</f>
        <v>58044490.6484904</v>
      </c>
      <c r="AD179" s="64" t="n">
        <f aca="false">SUM(C179:AA179)</f>
        <v>75253239.6368303</v>
      </c>
    </row>
    <row r="180" customFormat="false" ht="15" hidden="false" customHeight="false" outlineLevel="0" collapsed="false">
      <c r="A180" s="4" t="s">
        <v>702</v>
      </c>
      <c r="B180" s="2" t="s">
        <v>46</v>
      </c>
      <c r="D180" s="9" t="n">
        <f aca="false">-D164*'Unit Economics'!$E$53</f>
        <v>767232</v>
      </c>
      <c r="E180" s="9" t="n">
        <f aca="false">-E164*'Unit Economics'!$E$53</f>
        <v>956863.768066481</v>
      </c>
      <c r="F180" s="9" t="n">
        <f aca="false">-F164*'Unit Economics'!$E$53</f>
        <v>1118381.01595188</v>
      </c>
      <c r="G180" s="9" t="n">
        <f aca="false">-G164*'Unit Economics'!$E$53</f>
        <v>2288049.659136</v>
      </c>
      <c r="H180" s="9" t="n">
        <f aca="false">-H164*'Unit Economics'!$E$53</f>
        <v>2823405.38650602</v>
      </c>
      <c r="I180" s="9" t="n">
        <f aca="false">-I164*'Unit Economics'!$E$53</f>
        <v>3191553.15529325</v>
      </c>
      <c r="J180" s="9" t="n">
        <f aca="false">-J164*'Unit Economics'!$E$53</f>
        <v>3570124.94557011</v>
      </c>
      <c r="K180" s="9" t="n">
        <f aca="false">-K164*'Unit Economics'!$E$53</f>
        <v>3961082.35721684</v>
      </c>
      <c r="L180" s="9" t="n">
        <f aca="false">-L164*'Unit Economics'!$E$53</f>
        <v>4366580.68075184</v>
      </c>
      <c r="M180" s="9" t="n">
        <f aca="false">-M164*'Unit Economics'!$E$53</f>
        <v>4788990.80181475</v>
      </c>
      <c r="N180" s="9" t="n">
        <f aca="false">-N164*'Unit Economics'!$E$53</f>
        <v>5230923.4989231</v>
      </c>
      <c r="O180" s="9" t="n">
        <f aca="false">-O164*'Unit Economics'!$E$53</f>
        <v>5695256.39820195</v>
      </c>
      <c r="P180" s="9" t="n">
        <f aca="false">-P164*'Unit Economics'!$E$53</f>
        <v>6785163.87778129</v>
      </c>
      <c r="Q180" s="9" t="n">
        <f aca="false">-Q164*'Unit Economics'!$E$53</f>
        <v>7391570.24674081</v>
      </c>
      <c r="R180" s="9" t="n">
        <f aca="false">-R164*'Unit Economics'!$E$53</f>
        <v>8028557.47720673</v>
      </c>
      <c r="S180" s="9" t="n">
        <f aca="false">-S164*'Unit Economics'!$E$53</f>
        <v>8700468.41998382</v>
      </c>
      <c r="T180" s="9" t="n">
        <f aca="false">-T164*'Unit Economics'!$E$53</f>
        <v>9412097.10975668</v>
      </c>
      <c r="U180" s="9" t="n">
        <f aca="false">-U164*'Unit Economics'!$E$53</f>
        <v>10168739.1142717</v>
      </c>
      <c r="V180" s="9" t="n">
        <f aca="false">-V164*'Unit Economics'!$E$53</f>
        <v>10976247.4024452</v>
      </c>
      <c r="W180" s="9" t="n">
        <f aca="false">-W164*'Unit Economics'!$E$53</f>
        <v>11841094.3390079</v>
      </c>
      <c r="X180" s="9" t="n">
        <f aca="false">-X164*'Unit Economics'!$E$53</f>
        <v>12770440.4801183</v>
      </c>
      <c r="Y180" s="9" t="n">
        <f aca="false">-Y164*'Unit Economics'!$E$53</f>
        <v>13772210.9185514</v>
      </c>
      <c r="Z180" s="9" t="n">
        <f aca="false">-Z164*'Unit Economics'!$E$53</f>
        <v>14855180.0094018</v>
      </c>
      <c r="AA180" s="9" t="n">
        <f aca="false">-AA164*'Unit Economics'!$E$53</f>
        <v>16029065.3986319</v>
      </c>
      <c r="AB180" s="64" t="n">
        <f aca="false">SUM(D180:O180)</f>
        <v>38758443.6674322</v>
      </c>
      <c r="AC180" s="64" t="n">
        <f aca="false">SUM(P180:AA180)</f>
        <v>130730834.793897</v>
      </c>
      <c r="AD180" s="64" t="n">
        <f aca="false">SUM(C180:AA180)</f>
        <v>169489278.46133</v>
      </c>
    </row>
    <row r="181" customFormat="false" ht="15" hidden="false" customHeight="false" outlineLevel="0" collapsed="false">
      <c r="A181" s="4" t="s">
        <v>703</v>
      </c>
      <c r="B181" s="2" t="s">
        <v>46</v>
      </c>
      <c r="D181" s="9" t="n">
        <f aca="false">-D164*'Unit Economics'!$E$54</f>
        <v>545587.2</v>
      </c>
      <c r="E181" s="9" t="n">
        <f aca="false">-E164*'Unit Economics'!$E$54</f>
        <v>680436.45729172</v>
      </c>
      <c r="F181" s="9" t="n">
        <f aca="false">-F164*'Unit Economics'!$E$54</f>
        <v>795293.166899114</v>
      </c>
      <c r="G181" s="9" t="n">
        <f aca="false">-G164*'Unit Economics'!$E$54</f>
        <v>1627057.5353856</v>
      </c>
      <c r="H181" s="9" t="n">
        <f aca="false">-H164*'Unit Economics'!$E$54</f>
        <v>2007754.9415154</v>
      </c>
      <c r="I181" s="9" t="n">
        <f aca="false">-I164*'Unit Economics'!$E$54</f>
        <v>2269548.91043075</v>
      </c>
      <c r="J181" s="9" t="n">
        <f aca="false">-J164*'Unit Economics'!$E$54</f>
        <v>2538755.51684985</v>
      </c>
      <c r="K181" s="9" t="n">
        <f aca="false">-K164*'Unit Economics'!$E$54</f>
        <v>2816769.67624309</v>
      </c>
      <c r="L181" s="9" t="n">
        <f aca="false">-L164*'Unit Economics'!$E$54</f>
        <v>3105124.03964575</v>
      </c>
      <c r="M181" s="9" t="n">
        <f aca="false">-M164*'Unit Economics'!$E$54</f>
        <v>3405504.57017938</v>
      </c>
      <c r="N181" s="9" t="n">
        <f aca="false">-N164*'Unit Economics'!$E$54</f>
        <v>3719767.82145643</v>
      </c>
      <c r="O181" s="9" t="n">
        <f aca="false">-O164*'Unit Economics'!$E$54</f>
        <v>4049960.10538805</v>
      </c>
      <c r="P181" s="9" t="n">
        <f aca="false">-P164*'Unit Economics'!$E$54</f>
        <v>4825005.42420003</v>
      </c>
      <c r="Q181" s="9" t="n">
        <f aca="false">-Q164*'Unit Economics'!$E$54</f>
        <v>5256227.73101569</v>
      </c>
      <c r="R181" s="9" t="n">
        <f aca="false">-R164*'Unit Economics'!$E$54</f>
        <v>5709196.4282359</v>
      </c>
      <c r="S181" s="9" t="n">
        <f aca="false">-S164*'Unit Economics'!$E$54</f>
        <v>6186999.76532183</v>
      </c>
      <c r="T181" s="9" t="n">
        <f aca="false">-T164*'Unit Economics'!$E$54</f>
        <v>6693046.83360475</v>
      </c>
      <c r="U181" s="9" t="n">
        <f aca="false">-U164*'Unit Economics'!$E$54</f>
        <v>7231103.37014875</v>
      </c>
      <c r="V181" s="9" t="n">
        <f aca="false">-V164*'Unit Economics'!$E$54</f>
        <v>7805331.48618322</v>
      </c>
      <c r="W181" s="9" t="n">
        <f aca="false">-W164*'Unit Economics'!$E$54</f>
        <v>8420333.75218336</v>
      </c>
      <c r="X181" s="9" t="n">
        <f aca="false">-X164*'Unit Economics'!$E$54</f>
        <v>9081202.11919524</v>
      </c>
      <c r="Y181" s="9" t="n">
        <f aca="false">-Y164*'Unit Economics'!$E$54</f>
        <v>9793572.20874764</v>
      </c>
      <c r="Z181" s="9" t="n">
        <f aca="false">-Z164*'Unit Economics'!$E$54</f>
        <v>10563683.5622413</v>
      </c>
      <c r="AA181" s="9" t="n">
        <f aca="false">-AA164*'Unit Economics'!$E$54</f>
        <v>11398446.5056938</v>
      </c>
      <c r="AB181" s="64" t="n">
        <f aca="false">SUM(D181:O181)</f>
        <v>27561559.9412851</v>
      </c>
      <c r="AC181" s="64" t="n">
        <f aca="false">SUM(P181:AA181)</f>
        <v>92964149.1867715</v>
      </c>
      <c r="AD181" s="64" t="n">
        <f aca="false">SUM(C181:AA181)</f>
        <v>120525709.128057</v>
      </c>
    </row>
    <row r="182" customFormat="false" ht="15" hidden="false" customHeight="false" outlineLevel="0" collapsed="false">
      <c r="A182" s="4" t="s">
        <v>704</v>
      </c>
      <c r="B182" s="2" t="s">
        <v>46</v>
      </c>
      <c r="D182" s="9" t="n">
        <f aca="false">-D164*'Unit Economics'!$E$55</f>
        <v>10979.9424</v>
      </c>
      <c r="E182" s="9" t="n">
        <f aca="false">-E164*'Unit Economics'!$E$55</f>
        <v>13693.7837029959</v>
      </c>
      <c r="F182" s="9" t="n">
        <f aca="false">-F164*'Unit Economics'!$E$55</f>
        <v>16005.2749838447</v>
      </c>
      <c r="G182" s="9" t="n">
        <f aca="false">-G164*'Unit Economics'!$E$55</f>
        <v>32744.5328996352</v>
      </c>
      <c r="H182" s="9" t="n">
        <f aca="false">-H164*'Unit Economics'!$E$55</f>
        <v>40406.0681979973</v>
      </c>
      <c r="I182" s="9" t="n">
        <f aca="false">-I164*'Unit Economics'!$E$55</f>
        <v>45674.6718224189</v>
      </c>
      <c r="J182" s="9" t="n">
        <f aca="false">-J164*'Unit Economics'!$E$55</f>
        <v>51092.4547766033</v>
      </c>
      <c r="K182" s="9" t="n">
        <f aca="false">-K164*'Unit Economics'!$E$55</f>
        <v>56687.4897343922</v>
      </c>
      <c r="L182" s="9" t="n">
        <f aca="false">-L164*'Unit Economics'!$E$55</f>
        <v>62490.6212978708</v>
      </c>
      <c r="M182" s="9" t="n">
        <f aca="false">-M164*'Unit Economics'!$E$55</f>
        <v>68535.77947486</v>
      </c>
      <c r="N182" s="9" t="n">
        <f aca="false">-N164*'Unit Economics'!$E$55</f>
        <v>74860.3274068107</v>
      </c>
      <c r="O182" s="9" t="n">
        <f aca="false">-O164*'Unit Economics'!$E$55</f>
        <v>81505.4471209345</v>
      </c>
      <c r="P182" s="9" t="n">
        <f aca="false">-P164*'Unit Economics'!$E$55</f>
        <v>97103.2341620256</v>
      </c>
      <c r="Q182" s="9" t="n">
        <f aca="false">-Q164*'Unit Economics'!$E$55</f>
        <v>105781.583086691</v>
      </c>
      <c r="R182" s="9" t="n">
        <f aca="false">-R164*'Unit Economics'!$E$55</f>
        <v>114897.578118247</v>
      </c>
      <c r="S182" s="9" t="n">
        <f aca="false">-S164*'Unit Economics'!$E$55</f>
        <v>124513.370277102</v>
      </c>
      <c r="T182" s="9" t="n">
        <f aca="false">-T164*'Unit Economics'!$E$55</f>
        <v>134697.567526296</v>
      </c>
      <c r="U182" s="9" t="n">
        <f aca="false">-U164*'Unit Economics'!$E$55</f>
        <v>145525.955324244</v>
      </c>
      <c r="V182" s="9" t="n">
        <f aca="false">-V164*'Unit Economics'!$E$55</f>
        <v>157082.296159437</v>
      </c>
      <c r="W182" s="9" t="n">
        <f aca="false">-W164*'Unit Economics'!$E$55</f>
        <v>169459.21676269</v>
      </c>
      <c r="X182" s="9" t="n">
        <f aca="false">-X164*'Unit Economics'!$E$55</f>
        <v>182759.192648804</v>
      </c>
      <c r="Y182" s="9" t="n">
        <f aca="false">-Y164*'Unit Economics'!$E$55</f>
        <v>197095.640701046</v>
      </c>
      <c r="Z182" s="9" t="n">
        <f aca="false">-Z164*'Unit Economics'!$E$55</f>
        <v>212594.131690106</v>
      </c>
      <c r="AA182" s="9" t="n">
        <f aca="false">-AA164*'Unit Economics'!$E$55</f>
        <v>229393.735927088</v>
      </c>
      <c r="AB182" s="64" t="n">
        <f aca="false">SUM(D182:O182)</f>
        <v>554676.393818363</v>
      </c>
      <c r="AC182" s="64" t="n">
        <f aca="false">SUM(P182:AA182)</f>
        <v>1870903.50238378</v>
      </c>
      <c r="AD182" s="64" t="n">
        <f aca="false">SUM(C182:AA182)</f>
        <v>2425579.89620214</v>
      </c>
    </row>
    <row r="183" customFormat="false" ht="15" hidden="false" customHeight="false" outlineLevel="0" collapsed="false">
      <c r="A183" s="4" t="s">
        <v>705</v>
      </c>
      <c r="B183" s="2" t="s">
        <v>46</v>
      </c>
      <c r="D183" s="9" t="n">
        <f aca="false">D163*'Unit Economics'!$E$63</f>
        <v>145313.7408</v>
      </c>
      <c r="E183" s="9" t="n">
        <f aca="false">E163*'Unit Economics'!$E$63</f>
        <v>181229.997671791</v>
      </c>
      <c r="F183" s="9" t="n">
        <f aca="false">F163*'Unit Economics'!$E$63</f>
        <v>211821.364421286</v>
      </c>
      <c r="G183" s="9" t="n">
        <f aca="false">G163*'Unit Economics'!$E$63</f>
        <v>433356.605440358</v>
      </c>
      <c r="H183" s="9" t="n">
        <f aca="false">H163*'Unit Economics'!$E$63</f>
        <v>534752.980204241</v>
      </c>
      <c r="I183" s="9" t="n">
        <f aca="false">I163*'Unit Economics'!$E$63</f>
        <v>604480.167612541</v>
      </c>
      <c r="J183" s="9" t="n">
        <f aca="false">J163*'Unit Economics'!$E$63</f>
        <v>676181.664690978</v>
      </c>
      <c r="K183" s="9" t="n">
        <f aca="false">K163*'Unit Economics'!$E$63</f>
        <v>750228.99845687</v>
      </c>
      <c r="L183" s="9" t="n">
        <f aca="false">L163*'Unit Economics'!$E$63</f>
        <v>827030.380934399</v>
      </c>
      <c r="M183" s="9" t="n">
        <f aca="false">M163*'Unit Economics'!$E$63</f>
        <v>907034.857863715</v>
      </c>
      <c r="N183" s="9" t="n">
        <f aca="false">N163*'Unit Economics'!$E$63</f>
        <v>990736.910696036</v>
      </c>
      <c r="O183" s="9" t="n">
        <f aca="false">O163*'Unit Economics'!$E$63</f>
        <v>1078681.56181945</v>
      </c>
      <c r="P183" s="9" t="n">
        <f aca="false">P163*'Unit Economics'!$E$63</f>
        <v>1285110.03845178</v>
      </c>
      <c r="Q183" s="9" t="n">
        <f aca="false">Q163*'Unit Economics'!$E$63</f>
        <v>1399963.40473271</v>
      </c>
      <c r="R183" s="9" t="n">
        <f aca="false">R163*'Unit Economics'!$E$63</f>
        <v>1520608.78618296</v>
      </c>
      <c r="S183" s="9" t="n">
        <f aca="false">S163*'Unit Economics'!$E$63</f>
        <v>1647868.71874494</v>
      </c>
      <c r="T183" s="9" t="n">
        <f aca="false">T163*'Unit Economics'!$E$63</f>
        <v>1782651.19258791</v>
      </c>
      <c r="U183" s="9" t="n">
        <f aca="false">U163*'Unit Economics'!$E$63</f>
        <v>1925959.18824306</v>
      </c>
      <c r="V183" s="9" t="n">
        <f aca="false">V163*'Unit Economics'!$E$63</f>
        <v>2078901.25802311</v>
      </c>
      <c r="W183" s="9" t="n">
        <f aca="false">W163*'Unit Economics'!$E$63</f>
        <v>2242703.26780809</v>
      </c>
      <c r="X183" s="9" t="n">
        <f aca="false">X163*'Unit Economics'!$E$63</f>
        <v>2418721.42693441</v>
      </c>
      <c r="Y183" s="9" t="n">
        <f aca="false">Y163*'Unit Economics'!$E$63</f>
        <v>2608456.74797363</v>
      </c>
      <c r="Z183" s="9" t="n">
        <f aca="false">Z163*'Unit Economics'!$E$63</f>
        <v>2813571.0937807</v>
      </c>
      <c r="AA183" s="9" t="n">
        <f aca="false">AA163*'Unit Economics'!$E$63</f>
        <v>3035904.98650088</v>
      </c>
      <c r="AB183" s="64" t="n">
        <f aca="false">SUM(D183:O183)</f>
        <v>7340849.23061166</v>
      </c>
      <c r="AC183" s="64" t="n">
        <f aca="false">SUM(P183:AA183)</f>
        <v>24760420.1099642</v>
      </c>
      <c r="AD183" s="64" t="n">
        <f aca="false">SUM(C183:AA183)</f>
        <v>32101269.3405758</v>
      </c>
    </row>
    <row r="184" customFormat="false" ht="15" hidden="false" customHeight="false" outlineLevel="0" collapsed="false">
      <c r="A184" s="4" t="s">
        <v>706</v>
      </c>
      <c r="B184" s="2" t="s">
        <v>46</v>
      </c>
      <c r="C184" s="9" t="n">
        <f aca="false">C162*Asumsi!$F$71*Asumsi!$F$70*Asumsi!$F$12+C145*(Asumsi!$F$72+'Unit Economics'!$E$64)</f>
        <v>893042.285</v>
      </c>
      <c r="D184" s="9" t="n">
        <f aca="false">D158*Asumsi!$F$71*Asumsi!$F$70*Asumsi!$F$12+D145*(Asumsi!$F$72+'Unit Economics'!$E$64)</f>
        <v>1198426.70084317</v>
      </c>
      <c r="E184" s="9" t="n">
        <f aca="false">E158*Asumsi!$F$71*Asumsi!$F$70*Asumsi!$F$12+E145*(Asumsi!$F$72+'Unit Economics'!$E$64)</f>
        <v>1320080.1379241</v>
      </c>
      <c r="F184" s="9" t="n">
        <f aca="false">F158*Asumsi!$F$71*Asumsi!$F$70*Asumsi!$F$12+F145*(Asumsi!$F$72+'Unit Economics'!$E$64)</f>
        <v>1455379.54102996</v>
      </c>
      <c r="G184" s="9" t="n">
        <f aca="false">G158*Asumsi!$F$71*Asumsi!$F$70*Asumsi!$F$12+G145*(Asumsi!$F$72+'Unit Economics'!$E$64)</f>
        <v>2922367.14922611</v>
      </c>
      <c r="H184" s="9" t="n">
        <f aca="false">H158*Asumsi!$F$71*Asumsi!$F$70*Asumsi!$F$12+H145*(Asumsi!$F$72+'Unit Economics'!$E$64)</f>
        <v>3123419.45714522</v>
      </c>
      <c r="I184" s="9" t="n">
        <f aca="false">I158*Asumsi!$F$71*Asumsi!$F$70*Asumsi!$F$12+I145*(Asumsi!$F$72+'Unit Economics'!$E$64)</f>
        <v>3346860.8842072</v>
      </c>
      <c r="J184" s="9" t="n">
        <f aca="false">J158*Asumsi!$F$71*Asumsi!$F$70*Asumsi!$F$12+J145*(Asumsi!$F$72+'Unit Economics'!$E$64)</f>
        <v>3588129.94703545</v>
      </c>
      <c r="K184" s="9" t="n">
        <f aca="false">K158*Asumsi!$F$71*Asumsi!$F$70*Asumsi!$F$12+K145*(Asumsi!$F$72+'Unit Economics'!$E$64)</f>
        <v>3849474.75992341</v>
      </c>
      <c r="L184" s="9" t="n">
        <f aca="false">L158*Asumsi!$F$71*Asumsi!$F$70*Asumsi!$F$12+L145*(Asumsi!$F$72+'Unit Economics'!$E$64)</f>
        <v>4133395.44494896</v>
      </c>
      <c r="M184" s="9" t="n">
        <f aca="false">M158*Asumsi!$F$71*Asumsi!$F$70*Asumsi!$F$12+M145*(Asumsi!$F$72+'Unit Economics'!$E$64)</f>
        <v>4442673.22443978</v>
      </c>
      <c r="N184" s="9" t="n">
        <f aca="false">N158*Asumsi!$F$71*Asumsi!$F$70*Asumsi!$F$12+N145*(Asumsi!$F$72+'Unit Economics'!$E$64)</f>
        <v>4780402.85636617</v>
      </c>
      <c r="O184" s="9" t="n">
        <f aca="false">O158*Asumsi!$F$71*Asumsi!$F$70*Asumsi!$F$12+O145*(Asumsi!$F$72+'Unit Economics'!$E$64)</f>
        <v>5150028.79810604</v>
      </c>
      <c r="P184" s="9" t="n">
        <f aca="false">P158*Asumsi!$F$71*Asumsi!$F$70*Asumsi!$F$12+P145*(Asumsi!$F$72+'Unit Economics'!$E$64)</f>
        <v>6214432.51186939</v>
      </c>
      <c r="Q184" s="9" t="n">
        <f aca="false">Q158*Asumsi!$F$71*Asumsi!$F$70*Asumsi!$F$12+Q145*(Asumsi!$F$72+'Unit Economics'!$E$64)</f>
        <v>6681472.13714758</v>
      </c>
      <c r="R184" s="9" t="n">
        <f aca="false">R158*Asumsi!$F$71*Asumsi!$F$70*Asumsi!$F$12+R145*(Asumsi!$F$72+'Unit Economics'!$E$64)</f>
        <v>7192678.98674852</v>
      </c>
      <c r="S184" s="9" t="n">
        <f aca="false">S158*Asumsi!$F$71*Asumsi!$F$70*Asumsi!$F$12+S145*(Asumsi!$F$72+'Unit Economics'!$E$64)</f>
        <v>7753364.57685763</v>
      </c>
      <c r="T184" s="9" t="n">
        <f aca="false">T158*Asumsi!$F$71*Asumsi!$F$70*Asumsi!$F$12+T145*(Asumsi!$F$72+'Unit Economics'!$E$64)</f>
        <v>8369443.34782775</v>
      </c>
      <c r="U184" s="9" t="n">
        <f aca="false">U158*Asumsi!$F$71*Asumsi!$F$70*Asumsi!$F$12+U145*(Asumsi!$F$72+'Unit Economics'!$E$64)</f>
        <v>9047502.19265995</v>
      </c>
      <c r="V184" s="9" t="n">
        <f aca="false">V158*Asumsi!$F$71*Asumsi!$F$70*Asumsi!$F$12+V145*(Asumsi!$F$72+'Unit Economics'!$E$64)</f>
        <v>9794877.99220487</v>
      </c>
      <c r="W184" s="9" t="n">
        <f aca="false">W158*Asumsi!$F$71*Asumsi!$F$70*Asumsi!$F$12+W145*(Asumsi!$F$72+'Unit Economics'!$E$64)</f>
        <v>10619744.0815652</v>
      </c>
      <c r="X184" s="9" t="n">
        <f aca="false">X158*Asumsi!$F$71*Asumsi!$F$70*Asumsi!$F$12+X145*(Asumsi!$F$72+'Unit Economics'!$E$64)</f>
        <v>11531206.6791025</v>
      </c>
      <c r="Y184" s="9" t="n">
        <f aca="false">Y158*Asumsi!$F$71*Asumsi!$F$70*Asumsi!$F$12+Y145*(Asumsi!$F$72+'Unit Economics'!$E$64)</f>
        <v>12539412.4287636</v>
      </c>
      <c r="Z184" s="9" t="n">
        <f aca="false">Z158*Asumsi!$F$71*Asumsi!$F$70*Asumsi!$F$12+Z145*(Asumsi!$F$72+'Unit Economics'!$E$64)</f>
        <v>13655668.3395826</v>
      </c>
      <c r="AA184" s="9" t="n">
        <f aca="false">AA158*Asumsi!$F$71*Asumsi!$F$70*Asumsi!$F$12+AA145*(Asumsi!$F$72+'Unit Economics'!$E$64)</f>
        <v>14892575.5547848</v>
      </c>
      <c r="AB184" s="64" t="n">
        <f aca="false">SUM(D184:O184)</f>
        <v>39310638.9011956</v>
      </c>
      <c r="AC184" s="64" t="n">
        <f aca="false">SUM(P184:AA184)</f>
        <v>118292378.829114</v>
      </c>
      <c r="AD184" s="64" t="n">
        <f aca="false">SUM(C184:AA184)</f>
        <v>158496060.01531</v>
      </c>
    </row>
    <row r="185" customFormat="false" ht="15" hidden="false" customHeight="false" outlineLevel="0" collapsed="false">
      <c r="A185" s="25" t="s">
        <v>707</v>
      </c>
      <c r="B185" s="2" t="s">
        <v>46</v>
      </c>
      <c r="C185" s="64" t="n">
        <f aca="false">SUM(C178:C184)</f>
        <v>893042.285</v>
      </c>
      <c r="D185" s="64" t="n">
        <f aca="false">SUM(D178:D184)</f>
        <v>4135383.29501917</v>
      </c>
      <c r="E185" s="64" t="n">
        <f aca="false">SUM(E178:E184)</f>
        <v>4982945.2860813</v>
      </c>
      <c r="F185" s="64" t="n">
        <f aca="false">SUM(F178:F184)</f>
        <v>5736531.13481271</v>
      </c>
      <c r="G185" s="64" t="n">
        <f aca="false">SUM(G178:G184)</f>
        <v>11680998.8723576</v>
      </c>
      <c r="H185" s="64" t="n">
        <f aca="false">SUM(H178:H184)</f>
        <v>13931387.6700598</v>
      </c>
      <c r="I185" s="64" t="n">
        <f aca="false">SUM(I178:I184)</f>
        <v>15564095.1563722</v>
      </c>
      <c r="J185" s="64" t="n">
        <f aca="false">SUM(J178:J184)</f>
        <v>17254533.3307895</v>
      </c>
      <c r="K185" s="64" t="n">
        <f aca="false">SUM(K178:K184)</f>
        <v>19012459.2927664</v>
      </c>
      <c r="L185" s="64" t="n">
        <f aca="false">SUM(L178:L184)</f>
        <v>20848623.5954115</v>
      </c>
      <c r="M185" s="64" t="n">
        <f aca="false">SUM(M178:M184)</f>
        <v>22774883.1880988</v>
      </c>
      <c r="N185" s="64" t="n">
        <f aca="false">SUM(N178:N184)</f>
        <v>24804326.8634363</v>
      </c>
      <c r="O185" s="64" t="n">
        <f aca="false">SUM(O178:O184)</f>
        <v>26951414.6034716</v>
      </c>
      <c r="P185" s="64" t="n">
        <f aca="false">SUM(P178:P184)</f>
        <v>32187973.4921916</v>
      </c>
      <c r="Q185" s="64" t="n">
        <f aca="false">SUM(Q178:Q184)</f>
        <v>34976330.7685401</v>
      </c>
      <c r="R185" s="64" t="n">
        <f aca="false">SUM(R178:R184)</f>
        <v>37925918.508045</v>
      </c>
      <c r="S185" s="64" t="n">
        <f aca="false">SUM(S178:S184)</f>
        <v>41058672.6173089</v>
      </c>
      <c r="T185" s="64" t="n">
        <f aca="false">SUM(T178:T184)</f>
        <v>44398859.0545823</v>
      </c>
      <c r="U185" s="64" t="n">
        <f aca="false">SUM(U178:U184)</f>
        <v>47973336.0944206</v>
      </c>
      <c r="V185" s="64" t="n">
        <f aca="false">SUM(V178:V184)</f>
        <v>51811845.725457</v>
      </c>
      <c r="W185" s="64" t="n">
        <f aca="false">SUM(W178:W184)</f>
        <v>55947337.4316982</v>
      </c>
      <c r="X185" s="64" t="n">
        <f aca="false">SUM(X178:X184)</f>
        <v>60416327.9704662</v>
      </c>
      <c r="Y185" s="64" t="n">
        <f aca="false">SUM(Y178:Y184)</f>
        <v>65259301.1633604</v>
      </c>
      <c r="Z185" s="64" t="n">
        <f aca="false">SUM(Z178:Z184)</f>
        <v>70521152.1649236</v>
      </c>
      <c r="AA185" s="64" t="n">
        <f aca="false">SUM(AA178:AA184)</f>
        <v>76251681.1721083</v>
      </c>
      <c r="AB185" s="64" t="n">
        <f aca="false">SUM(D185:O185)</f>
        <v>187677582.288677</v>
      </c>
      <c r="AC185" s="64" t="n">
        <f aca="false">SUM(P185:AA185)</f>
        <v>618728736.163102</v>
      </c>
      <c r="AD185" s="64" t="n">
        <f aca="false">SUM(C185:AA185)</f>
        <v>807299360.736779</v>
      </c>
    </row>
    <row r="186" customFormat="false" ht="15" hidden="false" customHeight="false" outlineLevel="0" collapsed="false">
      <c r="A186" s="25" t="s">
        <v>708</v>
      </c>
      <c r="B186" s="2" t="s">
        <v>46</v>
      </c>
      <c r="C186" s="64" t="n">
        <f aca="false">C173-C185</f>
        <v>-893042.285</v>
      </c>
      <c r="D186" s="64" t="n">
        <f aca="false">D173-D185</f>
        <v>5898316.70498084</v>
      </c>
      <c r="E186" s="64" t="n">
        <f aca="false">E173-E185</f>
        <v>7503416.9663313</v>
      </c>
      <c r="F186" s="64" t="n">
        <f aca="false">F173-F185</f>
        <v>8819557.81167063</v>
      </c>
      <c r="G186" s="64" t="n">
        <f aca="false">G173-G185</f>
        <v>18381642.6675394</v>
      </c>
      <c r="H186" s="64" t="n">
        <f aca="false">H173-H185</f>
        <v>23087161.0309677</v>
      </c>
      <c r="I186" s="64" t="n">
        <f aca="false">I173-I185</f>
        <v>26161476.2640875</v>
      </c>
      <c r="J186" s="64" t="n">
        <f aca="false">J173-J185</f>
        <v>32088955.8246177</v>
      </c>
      <c r="K186" s="64" t="n">
        <f aca="false">K173-K185</f>
        <v>35635502.3518186</v>
      </c>
      <c r="L186" s="64" t="n">
        <f aca="false">L173-L185</f>
        <v>39301946.61379</v>
      </c>
      <c r="M186" s="64" t="n">
        <f aca="false">M173-M185</f>
        <v>43108617.5114246</v>
      </c>
      <c r="N186" s="64" t="n">
        <f aca="false">N173-N185</f>
        <v>47077864.6814645</v>
      </c>
      <c r="O186" s="64" t="n">
        <f aca="false">O173-O185</f>
        <v>51234283.9825346</v>
      </c>
      <c r="P186" s="64" t="n">
        <f aca="false">P173-P185</f>
        <v>61115792.9317715</v>
      </c>
      <c r="Q186" s="64" t="n">
        <f aca="false">Q173-Q185</f>
        <v>66556695.4536864</v>
      </c>
      <c r="R186" s="64" t="n">
        <f aca="false">R173-R185</f>
        <v>72252285.0747725</v>
      </c>
      <c r="S186" s="64" t="n">
        <f aca="false">S173-S185</f>
        <v>78239533.7201504</v>
      </c>
      <c r="T186" s="64" t="n">
        <f aca="false">T173-T185</f>
        <v>84559194.1938776</v>
      </c>
      <c r="U186" s="64" t="n">
        <f aca="false">U173-U185</f>
        <v>91256218.6292138</v>
      </c>
      <c r="V186" s="64" t="n">
        <f aca="false">V173-V185</f>
        <v>98380222.2754628</v>
      </c>
      <c r="W186" s="64" t="n">
        <f aca="false">W173-W185</f>
        <v>105985997.552347</v>
      </c>
      <c r="X186" s="64" t="n">
        <f aca="false">X173-X185</f>
        <v>114134083.837809</v>
      </c>
      <c r="Y186" s="64" t="n">
        <f aca="false">Y173-Y185</f>
        <v>122891399.048038</v>
      </c>
      <c r="Z186" s="64" t="n">
        <f aca="false">Z173-Z185</f>
        <v>132331939.725691</v>
      </c>
      <c r="AA186" s="64" t="n">
        <f aca="false">AA173-AA185</f>
        <v>142537557.080584</v>
      </c>
      <c r="AB186" s="64" t="n">
        <f aca="false">SUM(D186:O186)</f>
        <v>338298742.411227</v>
      </c>
      <c r="AC186" s="64" t="n">
        <f aca="false">SUM(P186:AA186)</f>
        <v>1170240919.5234</v>
      </c>
      <c r="AD186" s="64" t="n">
        <f aca="false">SUM(C186:AA186)</f>
        <v>1507646619.64963</v>
      </c>
    </row>
    <row r="187" customFormat="false" ht="15" hidden="false" customHeight="false" outlineLevel="0" collapsed="false">
      <c r="A187" s="4" t="s">
        <v>565</v>
      </c>
      <c r="B187" s="2" t="s">
        <v>698</v>
      </c>
      <c r="D187" s="36" t="n">
        <f aca="false">IF(D164&gt;0,D186/D164,0)</f>
        <v>86487.611219337</v>
      </c>
      <c r="E187" s="36" t="n">
        <f aca="false">IF(E164&gt;0,E186/E164,0)</f>
        <v>88218.870531382</v>
      </c>
      <c r="F187" s="36" t="n">
        <f aca="false">IF(F164&gt;0,F186/F164,0)</f>
        <v>88717.5515017538</v>
      </c>
      <c r="G187" s="36" t="n">
        <f aca="false">IF(G164&gt;0,G186/G164,0)</f>
        <v>90379.8041201195</v>
      </c>
      <c r="H187" s="36" t="n">
        <f aca="false">IF(H164&gt;0,H186/H164,0)</f>
        <v>91991.94803542</v>
      </c>
      <c r="I187" s="36" t="n">
        <f aca="false">IF(I164&gt;0,I186/I164,0)</f>
        <v>92217.3605295762</v>
      </c>
      <c r="J187" s="36" t="n">
        <f aca="false">IF(J164&gt;0,J186/J164,0)</f>
        <v>101117.120137458</v>
      </c>
      <c r="K187" s="36" t="n">
        <f aca="false">IF(K164&gt;0,K186/K164,0)</f>
        <v>101209.559737516</v>
      </c>
      <c r="L187" s="36" t="n">
        <f aca="false">IF(L164&gt;0,L186/L164,0)</f>
        <v>101257.009026341</v>
      </c>
      <c r="M187" s="36" t="n">
        <f aca="false">IF(M164&gt;0,M186/M164,0)</f>
        <v>101268.089055371</v>
      </c>
      <c r="N187" s="36" t="n">
        <f aca="false">IF(N164&gt;0,N186/N164,0)</f>
        <v>101249.039060791</v>
      </c>
      <c r="O187" s="36" t="n">
        <f aca="false">IF(O164&gt;0,O186/O164,0)</f>
        <v>101204.520833423</v>
      </c>
      <c r="P187" s="36" t="n">
        <f aca="false">IF(P164&gt;0,P186/P164,0)</f>
        <v>101331.770737902</v>
      </c>
      <c r="Q187" s="36" t="n">
        <f aca="false">IF(Q164&gt;0,Q186/Q164,0)</f>
        <v>101299.561373191</v>
      </c>
      <c r="R187" s="36" t="n">
        <f aca="false">IF(R164&gt;0,R186/R164,0)</f>
        <v>101243.368986129</v>
      </c>
      <c r="S187" s="36" t="n">
        <f aca="false">IF(S164&gt;0,S186/S164,0)</f>
        <v>101166.363908638</v>
      </c>
      <c r="T187" s="36" t="n">
        <f aca="false">IF(T164&gt;0,T186/T164,0)</f>
        <v>101071.092189965</v>
      </c>
      <c r="U187" s="36" t="n">
        <f aca="false">IF(U164&gt;0,U186/U164,0)</f>
        <v>100959.661570803</v>
      </c>
      <c r="V187" s="36" t="n">
        <f aca="false">IF(V164&gt;0,V186/V164,0)</f>
        <v>100833.869720575</v>
      </c>
      <c r="W187" s="36" t="n">
        <f aca="false">IF(W164&gt;0,W186/W164,0)</f>
        <v>100695.293722642</v>
      </c>
      <c r="X187" s="36" t="n">
        <f aca="false">IF(X164&gt;0,X186/X164,0)</f>
        <v>100545.352775761</v>
      </c>
      <c r="Y187" s="36" t="n">
        <f aca="false">IF(Y164&gt;0,Y186/Y164,0)</f>
        <v>100385.351884797</v>
      </c>
      <c r="Z187" s="36" t="n">
        <f aca="false">IF(Z164&gt;0,Z186/Z164,0)</f>
        <v>100216.511746866</v>
      </c>
      <c r="AA187" s="36" t="n">
        <f aca="false">IF(AA164&gt;0,AA186/AA164,0)</f>
        <v>100039.988438342</v>
      </c>
      <c r="AB187" s="64" t="n">
        <f aca="false">IF(AB164&gt;0,AB186/AB164,0)</f>
        <v>98194.3672656877</v>
      </c>
      <c r="AC187" s="64" t="n">
        <f aca="false">IF(AC164&gt;0,AC186/AC164,0)</f>
        <v>100704.706471077</v>
      </c>
      <c r="AD187" s="64" t="n">
        <f aca="false">IF(AD164&gt;0,AD186/AD164,0)</f>
        <v>100071.371033231</v>
      </c>
    </row>
    <row r="188" customFormat="false" ht="15" hidden="false" customHeight="false" outlineLevel="0" collapsed="false">
      <c r="A188" s="7" t="s">
        <v>709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customFormat="false" ht="15" hidden="false" customHeight="false" outlineLevel="0" collapsed="false">
      <c r="A189" s="4" t="s">
        <v>710</v>
      </c>
      <c r="B189" s="2" t="s">
        <v>46</v>
      </c>
      <c r="D189" s="36" t="n">
        <f aca="false">D151</f>
        <v>5000000</v>
      </c>
      <c r="E189" s="36" t="n">
        <f aca="false">E151</f>
        <v>5000000</v>
      </c>
      <c r="F189" s="36" t="n">
        <f aca="false">F151</f>
        <v>5000000</v>
      </c>
      <c r="G189" s="36" t="n">
        <f aca="false">G151</f>
        <v>25000000</v>
      </c>
      <c r="H189" s="36" t="n">
        <f aca="false">H151</f>
        <v>25000000</v>
      </c>
      <c r="I189" s="36" t="n">
        <f aca="false">I151</f>
        <v>25000000</v>
      </c>
      <c r="J189" s="36" t="n">
        <f aca="false">J151</f>
        <v>25000000</v>
      </c>
      <c r="K189" s="36" t="n">
        <f aca="false">K151</f>
        <v>25000000</v>
      </c>
      <c r="L189" s="36" t="n">
        <f aca="false">L151</f>
        <v>25000000</v>
      </c>
      <c r="M189" s="36" t="n">
        <f aca="false">M151</f>
        <v>25000000</v>
      </c>
      <c r="N189" s="36" t="n">
        <f aca="false">N151</f>
        <v>25000000</v>
      </c>
      <c r="O189" s="36" t="n">
        <f aca="false">O151</f>
        <v>25000000</v>
      </c>
      <c r="P189" s="36" t="n">
        <f aca="false">P151</f>
        <v>35000000</v>
      </c>
      <c r="Q189" s="36" t="n">
        <f aca="false">Q151</f>
        <v>35000000</v>
      </c>
      <c r="R189" s="36" t="n">
        <f aca="false">R151</f>
        <v>35000000</v>
      </c>
      <c r="S189" s="36" t="n">
        <f aca="false">S151</f>
        <v>35000000</v>
      </c>
      <c r="T189" s="36" t="n">
        <f aca="false">T151</f>
        <v>35000000</v>
      </c>
      <c r="U189" s="36" t="n">
        <f aca="false">U151</f>
        <v>35000000</v>
      </c>
      <c r="V189" s="36" t="n">
        <f aca="false">V151</f>
        <v>35000000</v>
      </c>
      <c r="W189" s="36" t="n">
        <f aca="false">W151</f>
        <v>35000000</v>
      </c>
      <c r="X189" s="36" t="n">
        <f aca="false">X151</f>
        <v>35000000</v>
      </c>
      <c r="Y189" s="36" t="n">
        <f aca="false">Y151</f>
        <v>35000000</v>
      </c>
      <c r="Z189" s="36" t="n">
        <f aca="false">Z151</f>
        <v>35000000</v>
      </c>
      <c r="AA189" s="36" t="n">
        <f aca="false">AA151</f>
        <v>35000000</v>
      </c>
      <c r="AB189" s="64" t="n">
        <f aca="false">SUM(D189:O189)</f>
        <v>240000000</v>
      </c>
      <c r="AC189" s="64" t="n">
        <f aca="false">SUM(P189:AA189)</f>
        <v>420000000</v>
      </c>
      <c r="AD189" s="64" t="n">
        <f aca="false">SUM(C189:AA189)</f>
        <v>660000000</v>
      </c>
    </row>
    <row r="190" customFormat="false" ht="15" hidden="false" customHeight="false" outlineLevel="0" collapsed="false">
      <c r="A190" s="4" t="s">
        <v>711</v>
      </c>
      <c r="B190" s="2" t="s">
        <v>46</v>
      </c>
      <c r="C190" s="9" t="n">
        <f aca="false">Asumsi!$F$114*(1+Asumsi!$F$116)*Asumsi!$F$11</f>
        <v>216000000</v>
      </c>
      <c r="D190" s="9" t="n">
        <f aca="false">IF(D$5&lt;=12,Asumsi!$F$114,Asumsi!$F$115)*(1+Asumsi!$F$116)</f>
        <v>72000000</v>
      </c>
      <c r="E190" s="9" t="n">
        <f aca="false">IF(E$5&lt;=12,Asumsi!$F$114,Asumsi!$F$115)*(1+Asumsi!$F$116)</f>
        <v>72000000</v>
      </c>
      <c r="F190" s="9" t="n">
        <f aca="false">IF(F$5&lt;=12,Asumsi!$F$114,Asumsi!$F$115)*(1+Asumsi!$F$116)</f>
        <v>72000000</v>
      </c>
      <c r="G190" s="9" t="n">
        <f aca="false">IF(G$5&lt;=12,Asumsi!$F$114,Asumsi!$F$115)*(1+Asumsi!$F$116)</f>
        <v>72000000</v>
      </c>
      <c r="H190" s="9" t="n">
        <f aca="false">IF(H$5&lt;=12,Asumsi!$F$114,Asumsi!$F$115)*(1+Asumsi!$F$116)</f>
        <v>72000000</v>
      </c>
      <c r="I190" s="9" t="n">
        <f aca="false">IF(I$5&lt;=12,Asumsi!$F$114,Asumsi!$F$115)*(1+Asumsi!$F$116)</f>
        <v>72000000</v>
      </c>
      <c r="J190" s="9" t="n">
        <f aca="false">IF(J$5&lt;=12,Asumsi!$F$114,Asumsi!$F$115)*(1+Asumsi!$F$116)</f>
        <v>72000000</v>
      </c>
      <c r="K190" s="9" t="n">
        <f aca="false">IF(K$5&lt;=12,Asumsi!$F$114,Asumsi!$F$115)*(1+Asumsi!$F$116)</f>
        <v>72000000</v>
      </c>
      <c r="L190" s="9" t="n">
        <f aca="false">IF(L$5&lt;=12,Asumsi!$F$114,Asumsi!$F$115)*(1+Asumsi!$F$116)</f>
        <v>72000000</v>
      </c>
      <c r="M190" s="9" t="n">
        <f aca="false">IF(M$5&lt;=12,Asumsi!$F$114,Asumsi!$F$115)*(1+Asumsi!$F$116)</f>
        <v>72000000</v>
      </c>
      <c r="N190" s="9" t="n">
        <f aca="false">IF(N$5&lt;=12,Asumsi!$F$114,Asumsi!$F$115)*(1+Asumsi!$F$116)</f>
        <v>72000000</v>
      </c>
      <c r="O190" s="9" t="n">
        <f aca="false">IF(O$5&lt;=12,Asumsi!$F$114,Asumsi!$F$115)*(1+Asumsi!$F$116)</f>
        <v>72000000</v>
      </c>
      <c r="P190" s="9" t="n">
        <f aca="false">IF(P$5&lt;=12,Asumsi!$F$114,Asumsi!$F$115)*(1+Asumsi!$F$116)</f>
        <v>102000000</v>
      </c>
      <c r="Q190" s="9" t="n">
        <f aca="false">IF(Q$5&lt;=12,Asumsi!$F$114,Asumsi!$F$115)*(1+Asumsi!$F$116)</f>
        <v>102000000</v>
      </c>
      <c r="R190" s="9" t="n">
        <f aca="false">IF(R$5&lt;=12,Asumsi!$F$114,Asumsi!$F$115)*(1+Asumsi!$F$116)</f>
        <v>102000000</v>
      </c>
      <c r="S190" s="9" t="n">
        <f aca="false">IF(S$5&lt;=12,Asumsi!$F$114,Asumsi!$F$115)*(1+Asumsi!$F$116)</f>
        <v>102000000</v>
      </c>
      <c r="T190" s="9" t="n">
        <f aca="false">IF(T$5&lt;=12,Asumsi!$F$114,Asumsi!$F$115)*(1+Asumsi!$F$116)</f>
        <v>102000000</v>
      </c>
      <c r="U190" s="9" t="n">
        <f aca="false">IF(U$5&lt;=12,Asumsi!$F$114,Asumsi!$F$115)*(1+Asumsi!$F$116)</f>
        <v>102000000</v>
      </c>
      <c r="V190" s="9" t="n">
        <f aca="false">IF(V$5&lt;=12,Asumsi!$F$114,Asumsi!$F$115)*(1+Asumsi!$F$116)</f>
        <v>102000000</v>
      </c>
      <c r="W190" s="9" t="n">
        <f aca="false">IF(W$5&lt;=12,Asumsi!$F$114,Asumsi!$F$115)*(1+Asumsi!$F$116)</f>
        <v>102000000</v>
      </c>
      <c r="X190" s="9" t="n">
        <f aca="false">IF(X$5&lt;=12,Asumsi!$F$114,Asumsi!$F$115)*(1+Asumsi!$F$116)</f>
        <v>102000000</v>
      </c>
      <c r="Y190" s="9" t="n">
        <f aca="false">IF(Y$5&lt;=12,Asumsi!$F$114,Asumsi!$F$115)*(1+Asumsi!$F$116)</f>
        <v>102000000</v>
      </c>
      <c r="Z190" s="9" t="n">
        <f aca="false">IF(Z$5&lt;=12,Asumsi!$F$114,Asumsi!$F$115)*(1+Asumsi!$F$116)</f>
        <v>102000000</v>
      </c>
      <c r="AA190" s="9" t="n">
        <f aca="false">IF(AA$5&lt;=12,Asumsi!$F$114,Asumsi!$F$115)*(1+Asumsi!$F$116)</f>
        <v>102000000</v>
      </c>
      <c r="AB190" s="64" t="n">
        <f aca="false">SUM(D190:O190)</f>
        <v>864000000</v>
      </c>
      <c r="AC190" s="64" t="n">
        <f aca="false">SUM(P190:AA190)</f>
        <v>1224000000</v>
      </c>
      <c r="AD190" s="64" t="n">
        <f aca="false">SUM(C190:AA190)</f>
        <v>2304000000</v>
      </c>
    </row>
    <row r="191" customFormat="false" ht="15" hidden="false" customHeight="false" outlineLevel="0" collapsed="false">
      <c r="A191" s="4" t="s">
        <v>712</v>
      </c>
      <c r="B191" s="2" t="s">
        <v>46</v>
      </c>
      <c r="C191" s="9" t="n">
        <f aca="false">(Asumsi!$F$108*Asumsi!$F$12+Asumsi!$F$113)*Asumsi!$F$11</f>
        <v>7612530</v>
      </c>
      <c r="D191" s="9" t="n">
        <f aca="false">(Asumsi!$F$108+IF(D164&gt;=Asumsi!$F$110,Asumsi!$F$109,0)+IF(D164&gt;=Asumsi!$F$112,Asumsi!$F$111,0))*Asumsi!$F$12+Asumsi!$F$113</f>
        <v>2537510</v>
      </c>
      <c r="E191" s="9" t="n">
        <f aca="false">(Asumsi!$F$108+IF(E164&gt;=Asumsi!$F$110,Asumsi!$F$109,0)+IF(E164&gt;=Asumsi!$F$112,Asumsi!$F$111,0))*Asumsi!$F$12+Asumsi!$F$113</f>
        <v>2537510</v>
      </c>
      <c r="F191" s="9" t="n">
        <f aca="false">(Asumsi!$F$108+IF(F164&gt;=Asumsi!$F$110,Asumsi!$F$109,0)+IF(F164&gt;=Asumsi!$F$112,Asumsi!$F$111,0))*Asumsi!$F$12+Asumsi!$F$113</f>
        <v>2537510</v>
      </c>
      <c r="G191" s="9" t="n">
        <f aca="false">(Asumsi!$F$108+IF(G164&gt;=Asumsi!$F$110,Asumsi!$F$109,0)+IF(G164&gt;=Asumsi!$F$112,Asumsi!$F$111,0))*Asumsi!$F$12+Asumsi!$F$113</f>
        <v>2537510</v>
      </c>
      <c r="H191" s="9" t="n">
        <f aca="false">(Asumsi!$F$108+IF(H164&gt;=Asumsi!$F$110,Asumsi!$F$109,0)+IF(H164&gt;=Asumsi!$F$112,Asumsi!$F$111,0))*Asumsi!$F$12+Asumsi!$F$113</f>
        <v>2537510</v>
      </c>
      <c r="I191" s="9" t="n">
        <f aca="false">(Asumsi!$F$108+IF(I164&gt;=Asumsi!$F$110,Asumsi!$F$109,0)+IF(I164&gt;=Asumsi!$F$112,Asumsi!$F$111,0))*Asumsi!$F$12+Asumsi!$F$113</f>
        <v>2537510</v>
      </c>
      <c r="J191" s="9" t="n">
        <f aca="false">(Asumsi!$F$108+IF(J164&gt;=Asumsi!$F$110,Asumsi!$F$109,0)+IF(J164&gt;=Asumsi!$F$112,Asumsi!$F$111,0))*Asumsi!$F$12+Asumsi!$F$113</f>
        <v>2537510</v>
      </c>
      <c r="K191" s="9" t="n">
        <f aca="false">(Asumsi!$F$108+IF(K164&gt;=Asumsi!$F$110,Asumsi!$F$109,0)+IF(K164&gt;=Asumsi!$F$112,Asumsi!$F$111,0))*Asumsi!$F$12+Asumsi!$F$113</f>
        <v>2537510</v>
      </c>
      <c r="L191" s="9" t="n">
        <f aca="false">(Asumsi!$F$108+IF(L164&gt;=Asumsi!$F$110,Asumsi!$F$109,0)+IF(L164&gt;=Asumsi!$F$112,Asumsi!$F$111,0))*Asumsi!$F$12+Asumsi!$F$113</f>
        <v>2537510</v>
      </c>
      <c r="M191" s="9" t="n">
        <f aca="false">(Asumsi!$F$108+IF(M164&gt;=Asumsi!$F$110,Asumsi!$F$109,0)+IF(M164&gt;=Asumsi!$F$112,Asumsi!$F$111,0))*Asumsi!$F$12+Asumsi!$F$113</f>
        <v>2537510</v>
      </c>
      <c r="N191" s="9" t="n">
        <f aca="false">(Asumsi!$F$108+IF(N164&gt;=Asumsi!$F$110,Asumsi!$F$109,0)+IF(N164&gt;=Asumsi!$F$112,Asumsi!$F$111,0))*Asumsi!$F$12+Asumsi!$F$113</f>
        <v>2537510</v>
      </c>
      <c r="O191" s="9" t="n">
        <f aca="false">(Asumsi!$F$108+IF(O164&gt;=Asumsi!$F$110,Asumsi!$F$109,0)+IF(O164&gt;=Asumsi!$F$112,Asumsi!$F$111,0))*Asumsi!$F$12+Asumsi!$F$113</f>
        <v>2537510</v>
      </c>
      <c r="P191" s="9" t="n">
        <f aca="false">(Asumsi!$F$108+IF(P164&gt;=Asumsi!$F$110,Asumsi!$F$109,0)+IF(P164&gt;=Asumsi!$F$112,Asumsi!$F$111,0))*Asumsi!$F$12+Asumsi!$F$113</f>
        <v>2537510</v>
      </c>
      <c r="Q191" s="9" t="n">
        <f aca="false">(Asumsi!$F$108+IF(Q164&gt;=Asumsi!$F$110,Asumsi!$F$109,0)+IF(Q164&gt;=Asumsi!$F$112,Asumsi!$F$111,0))*Asumsi!$F$12+Asumsi!$F$113</f>
        <v>2537510</v>
      </c>
      <c r="R191" s="9" t="n">
        <f aca="false">(Asumsi!$F$108+IF(R164&gt;=Asumsi!$F$110,Asumsi!$F$109,0)+IF(R164&gt;=Asumsi!$F$112,Asumsi!$F$111,0))*Asumsi!$F$12+Asumsi!$F$113</f>
        <v>2537510</v>
      </c>
      <c r="S191" s="9" t="n">
        <f aca="false">(Asumsi!$F$108+IF(S164&gt;=Asumsi!$F$110,Asumsi!$F$109,0)+IF(S164&gt;=Asumsi!$F$112,Asumsi!$F$111,0))*Asumsi!$F$12+Asumsi!$F$113</f>
        <v>2537510</v>
      </c>
      <c r="T191" s="9" t="n">
        <f aca="false">(Asumsi!$F$108+IF(T164&gt;=Asumsi!$F$110,Asumsi!$F$109,0)+IF(T164&gt;=Asumsi!$F$112,Asumsi!$F$111,0))*Asumsi!$F$12+Asumsi!$F$113</f>
        <v>2537510</v>
      </c>
      <c r="U191" s="9" t="n">
        <f aca="false">(Asumsi!$F$108+IF(U164&gt;=Asumsi!$F$110,Asumsi!$F$109,0)+IF(U164&gt;=Asumsi!$F$112,Asumsi!$F$111,0))*Asumsi!$F$12+Asumsi!$F$113</f>
        <v>2537510</v>
      </c>
      <c r="V191" s="9" t="n">
        <f aca="false">(Asumsi!$F$108+IF(V164&gt;=Asumsi!$F$110,Asumsi!$F$109,0)+IF(V164&gt;=Asumsi!$F$112,Asumsi!$F$111,0))*Asumsi!$F$12+Asumsi!$F$113</f>
        <v>2537510</v>
      </c>
      <c r="W191" s="9" t="n">
        <f aca="false">(Asumsi!$F$108+IF(W164&gt;=Asumsi!$F$110,Asumsi!$F$109,0)+IF(W164&gt;=Asumsi!$F$112,Asumsi!$F$111,0))*Asumsi!$F$12+Asumsi!$F$113</f>
        <v>2537510</v>
      </c>
      <c r="X191" s="9" t="n">
        <f aca="false">(Asumsi!$F$108+IF(X164&gt;=Asumsi!$F$110,Asumsi!$F$109,0)+IF(X164&gt;=Asumsi!$F$112,Asumsi!$F$111,0))*Asumsi!$F$12+Asumsi!$F$113</f>
        <v>2537510</v>
      </c>
      <c r="Y191" s="9" t="n">
        <f aca="false">(Asumsi!$F$108+IF(Y164&gt;=Asumsi!$F$110,Asumsi!$F$109,0)+IF(Y164&gt;=Asumsi!$F$112,Asumsi!$F$111,0))*Asumsi!$F$12+Asumsi!$F$113</f>
        <v>2537510</v>
      </c>
      <c r="Z191" s="9" t="n">
        <f aca="false">(Asumsi!$F$108+IF(Z164&gt;=Asumsi!$F$110,Asumsi!$F$109,0)+IF(Z164&gt;=Asumsi!$F$112,Asumsi!$F$111,0))*Asumsi!$F$12+Asumsi!$F$113</f>
        <v>2537510</v>
      </c>
      <c r="AA191" s="9" t="n">
        <f aca="false">(Asumsi!$F$108+IF(AA164&gt;=Asumsi!$F$110,Asumsi!$F$109,0)+IF(AA164&gt;=Asumsi!$F$112,Asumsi!$F$111,0))*Asumsi!$F$12+Asumsi!$F$113</f>
        <v>2537510</v>
      </c>
      <c r="AB191" s="64" t="n">
        <f aca="false">SUM(D191:O191)</f>
        <v>30450120</v>
      </c>
      <c r="AC191" s="64" t="n">
        <f aca="false">SUM(P191:AA191)</f>
        <v>30450120</v>
      </c>
      <c r="AD191" s="64" t="n">
        <f aca="false">SUM(C191:AA191)</f>
        <v>68512770</v>
      </c>
    </row>
    <row r="192" customFormat="false" ht="15" hidden="false" customHeight="false" outlineLevel="0" collapsed="false">
      <c r="A192" s="4" t="s">
        <v>713</v>
      </c>
      <c r="B192" s="2" t="s">
        <v>46</v>
      </c>
      <c r="D192" s="9" t="n">
        <f aca="false">Asumsi!$F$117</f>
        <v>10000000</v>
      </c>
      <c r="E192" s="9" t="n">
        <f aca="false">Asumsi!$F$117</f>
        <v>10000000</v>
      </c>
      <c r="F192" s="9" t="n">
        <f aca="false">Asumsi!$F$117</f>
        <v>10000000</v>
      </c>
      <c r="G192" s="9" t="n">
        <f aca="false">Asumsi!$F$117</f>
        <v>10000000</v>
      </c>
      <c r="H192" s="9" t="n">
        <f aca="false">Asumsi!$F$117</f>
        <v>10000000</v>
      </c>
      <c r="I192" s="9" t="n">
        <f aca="false">Asumsi!$F$117</f>
        <v>10000000</v>
      </c>
      <c r="J192" s="9" t="n">
        <f aca="false">Asumsi!$F$117</f>
        <v>10000000</v>
      </c>
      <c r="K192" s="9" t="n">
        <f aca="false">Asumsi!$F$117</f>
        <v>10000000</v>
      </c>
      <c r="L192" s="9" t="n">
        <f aca="false">Asumsi!$F$117</f>
        <v>10000000</v>
      </c>
      <c r="M192" s="9" t="n">
        <f aca="false">Asumsi!$F$117</f>
        <v>10000000</v>
      </c>
      <c r="N192" s="9" t="n">
        <f aca="false">Asumsi!$F$117</f>
        <v>10000000</v>
      </c>
      <c r="O192" s="9" t="n">
        <f aca="false">Asumsi!$F$117</f>
        <v>10000000</v>
      </c>
      <c r="P192" s="9" t="n">
        <f aca="false">Asumsi!$F$117</f>
        <v>10000000</v>
      </c>
      <c r="Q192" s="9" t="n">
        <f aca="false">Asumsi!$F$117</f>
        <v>10000000</v>
      </c>
      <c r="R192" s="9" t="n">
        <f aca="false">Asumsi!$F$117</f>
        <v>10000000</v>
      </c>
      <c r="S192" s="9" t="n">
        <f aca="false">Asumsi!$F$117</f>
        <v>10000000</v>
      </c>
      <c r="T192" s="9" t="n">
        <f aca="false">Asumsi!$F$117</f>
        <v>10000000</v>
      </c>
      <c r="U192" s="9" t="n">
        <f aca="false">Asumsi!$F$117</f>
        <v>10000000</v>
      </c>
      <c r="V192" s="9" t="n">
        <f aca="false">Asumsi!$F$117</f>
        <v>10000000</v>
      </c>
      <c r="W192" s="9" t="n">
        <f aca="false">Asumsi!$F$117</f>
        <v>10000000</v>
      </c>
      <c r="X192" s="9" t="n">
        <f aca="false">Asumsi!$F$117</f>
        <v>10000000</v>
      </c>
      <c r="Y192" s="9" t="n">
        <f aca="false">Asumsi!$F$117</f>
        <v>10000000</v>
      </c>
      <c r="Z192" s="9" t="n">
        <f aca="false">Asumsi!$F$117</f>
        <v>10000000</v>
      </c>
      <c r="AA192" s="9" t="n">
        <f aca="false">Asumsi!$F$117</f>
        <v>10000000</v>
      </c>
      <c r="AB192" s="64" t="n">
        <f aca="false">SUM(D192:O192)</f>
        <v>120000000</v>
      </c>
      <c r="AC192" s="64" t="n">
        <f aca="false">SUM(P192:AA192)</f>
        <v>120000000</v>
      </c>
      <c r="AD192" s="64" t="n">
        <f aca="false">SUM(C192:AA192)</f>
        <v>240000000</v>
      </c>
    </row>
    <row r="193" customFormat="false" ht="15" hidden="false" customHeight="false" outlineLevel="0" collapsed="false">
      <c r="A193" s="4" t="s">
        <v>714</v>
      </c>
      <c r="B193" s="2" t="s">
        <v>46</v>
      </c>
      <c r="D193" s="9" t="n">
        <f aca="false">Asumsi!$F$118</f>
        <v>2500000</v>
      </c>
      <c r="E193" s="9" t="n">
        <f aca="false">Asumsi!$F$118</f>
        <v>2500000</v>
      </c>
      <c r="F193" s="9" t="n">
        <f aca="false">Asumsi!$F$118</f>
        <v>2500000</v>
      </c>
      <c r="G193" s="9" t="n">
        <f aca="false">Asumsi!$F$118</f>
        <v>2500000</v>
      </c>
      <c r="H193" s="9" t="n">
        <f aca="false">Asumsi!$F$118</f>
        <v>2500000</v>
      </c>
      <c r="I193" s="9" t="n">
        <f aca="false">Asumsi!$F$118</f>
        <v>2500000</v>
      </c>
      <c r="J193" s="9" t="n">
        <f aca="false">Asumsi!$F$118</f>
        <v>2500000</v>
      </c>
      <c r="K193" s="9" t="n">
        <f aca="false">Asumsi!$F$118</f>
        <v>2500000</v>
      </c>
      <c r="L193" s="9" t="n">
        <f aca="false">Asumsi!$F$118</f>
        <v>2500000</v>
      </c>
      <c r="M193" s="9" t="n">
        <f aca="false">Asumsi!$F$118</f>
        <v>2500000</v>
      </c>
      <c r="N193" s="9" t="n">
        <f aca="false">Asumsi!$F$118</f>
        <v>2500000</v>
      </c>
      <c r="O193" s="9" t="n">
        <f aca="false">Asumsi!$F$118</f>
        <v>2500000</v>
      </c>
      <c r="P193" s="9" t="n">
        <f aca="false">Asumsi!$F$118</f>
        <v>2500000</v>
      </c>
      <c r="Q193" s="9" t="n">
        <f aca="false">Asumsi!$F$118</f>
        <v>2500000</v>
      </c>
      <c r="R193" s="9" t="n">
        <f aca="false">Asumsi!$F$118</f>
        <v>2500000</v>
      </c>
      <c r="S193" s="9" t="n">
        <f aca="false">Asumsi!$F$118</f>
        <v>2500000</v>
      </c>
      <c r="T193" s="9" t="n">
        <f aca="false">Asumsi!$F$118</f>
        <v>2500000</v>
      </c>
      <c r="U193" s="9" t="n">
        <f aca="false">Asumsi!$F$118</f>
        <v>2500000</v>
      </c>
      <c r="V193" s="9" t="n">
        <f aca="false">Asumsi!$F$118</f>
        <v>2500000</v>
      </c>
      <c r="W193" s="9" t="n">
        <f aca="false">Asumsi!$F$118</f>
        <v>2500000</v>
      </c>
      <c r="X193" s="9" t="n">
        <f aca="false">Asumsi!$F$118</f>
        <v>2500000</v>
      </c>
      <c r="Y193" s="9" t="n">
        <f aca="false">Asumsi!$F$118</f>
        <v>2500000</v>
      </c>
      <c r="Z193" s="9" t="n">
        <f aca="false">Asumsi!$F$118</f>
        <v>2500000</v>
      </c>
      <c r="AA193" s="9" t="n">
        <f aca="false">Asumsi!$F$118</f>
        <v>2500000</v>
      </c>
      <c r="AB193" s="64" t="n">
        <f aca="false">SUM(D193:O193)</f>
        <v>30000000</v>
      </c>
      <c r="AC193" s="64" t="n">
        <f aca="false">SUM(P193:AA193)</f>
        <v>30000000</v>
      </c>
      <c r="AD193" s="64" t="n">
        <f aca="false">SUM(C193:AA193)</f>
        <v>60000000</v>
      </c>
    </row>
    <row r="194" customFormat="false" ht="15" hidden="false" customHeight="false" outlineLevel="0" collapsed="false">
      <c r="A194" s="4" t="s">
        <v>715</v>
      </c>
      <c r="B194" s="2" t="s">
        <v>46</v>
      </c>
      <c r="C194" s="9" t="n">
        <f aca="false">(Asumsi!$F$120+Asumsi!$F$121)*Asumsi!$F$12</f>
        <v>2221708</v>
      </c>
      <c r="D194" s="9" t="n">
        <f aca="false">IF(MOD(D$5,12)=0,Asumsi!$F$121*Asumsi!$F$12,0)</f>
        <v>0</v>
      </c>
      <c r="E194" s="9" t="n">
        <f aca="false">IF(MOD(E$5,12)=0,Asumsi!$F$121*Asumsi!$F$12,0)</f>
        <v>0</v>
      </c>
      <c r="F194" s="9" t="n">
        <f aca="false">IF(MOD(F$5,12)=0,Asumsi!$F$121*Asumsi!$F$12,0)</f>
        <v>0</v>
      </c>
      <c r="G194" s="9" t="n">
        <f aca="false">IF(MOD(G$5,12)=0,Asumsi!$F$121*Asumsi!$F$12,0)</f>
        <v>0</v>
      </c>
      <c r="H194" s="9" t="n">
        <f aca="false">IF(MOD(H$5,12)=0,Asumsi!$F$121*Asumsi!$F$12,0)</f>
        <v>0</v>
      </c>
      <c r="I194" s="9" t="n">
        <f aca="false">IF(MOD(I$5,12)=0,Asumsi!$F$121*Asumsi!$F$12,0)</f>
        <v>0</v>
      </c>
      <c r="J194" s="9" t="n">
        <f aca="false">IF(MOD(J$5,12)=0,Asumsi!$F$121*Asumsi!$F$12,0)</f>
        <v>0</v>
      </c>
      <c r="K194" s="9" t="n">
        <f aca="false">IF(MOD(K$5,12)=0,Asumsi!$F$121*Asumsi!$F$12,0)</f>
        <v>0</v>
      </c>
      <c r="L194" s="9" t="n">
        <f aca="false">IF(MOD(L$5,12)=0,Asumsi!$F$121*Asumsi!$F$12,0)</f>
        <v>0</v>
      </c>
      <c r="M194" s="9" t="n">
        <f aca="false">IF(MOD(M$5,12)=0,Asumsi!$F$121*Asumsi!$F$12,0)</f>
        <v>0</v>
      </c>
      <c r="N194" s="9" t="n">
        <f aca="false">IF(MOD(N$5,12)=0,Asumsi!$F$121*Asumsi!$F$12,0)</f>
        <v>0</v>
      </c>
      <c r="O194" s="9" t="n">
        <f aca="false">IF(MOD(O$5,12)=0,Asumsi!$F$121*Asumsi!$F$12,0)</f>
        <v>1773783</v>
      </c>
      <c r="P194" s="9" t="n">
        <f aca="false">IF(MOD(P$5,12)=0,Asumsi!$F$121*Asumsi!$F$12,0)</f>
        <v>0</v>
      </c>
      <c r="Q194" s="9" t="n">
        <f aca="false">IF(MOD(Q$5,12)=0,Asumsi!$F$121*Asumsi!$F$12,0)</f>
        <v>0</v>
      </c>
      <c r="R194" s="9" t="n">
        <f aca="false">IF(MOD(R$5,12)=0,Asumsi!$F$121*Asumsi!$F$12,0)</f>
        <v>0</v>
      </c>
      <c r="S194" s="9" t="n">
        <f aca="false">IF(MOD(S$5,12)=0,Asumsi!$F$121*Asumsi!$F$12,0)</f>
        <v>0</v>
      </c>
      <c r="T194" s="9" t="n">
        <f aca="false">IF(MOD(T$5,12)=0,Asumsi!$F$121*Asumsi!$F$12,0)</f>
        <v>0</v>
      </c>
      <c r="U194" s="9" t="n">
        <f aca="false">IF(MOD(U$5,12)=0,Asumsi!$F$121*Asumsi!$F$12,0)</f>
        <v>0</v>
      </c>
      <c r="V194" s="9" t="n">
        <f aca="false">IF(MOD(V$5,12)=0,Asumsi!$F$121*Asumsi!$F$12,0)</f>
        <v>0</v>
      </c>
      <c r="W194" s="9" t="n">
        <f aca="false">IF(MOD(W$5,12)=0,Asumsi!$F$121*Asumsi!$F$12,0)</f>
        <v>0</v>
      </c>
      <c r="X194" s="9" t="n">
        <f aca="false">IF(MOD(X$5,12)=0,Asumsi!$F$121*Asumsi!$F$12,0)</f>
        <v>0</v>
      </c>
      <c r="Y194" s="9" t="n">
        <f aca="false">IF(MOD(Y$5,12)=0,Asumsi!$F$121*Asumsi!$F$12,0)</f>
        <v>0</v>
      </c>
      <c r="Z194" s="9" t="n">
        <f aca="false">IF(MOD(Z$5,12)=0,Asumsi!$F$121*Asumsi!$F$12,0)</f>
        <v>0</v>
      </c>
      <c r="AA194" s="9" t="n">
        <f aca="false">IF(MOD(AA$5,12)=0,Asumsi!$F$121*Asumsi!$F$12,0)</f>
        <v>1773783</v>
      </c>
      <c r="AB194" s="64" t="n">
        <f aca="false">SUM(D194:O194)</f>
        <v>1773783</v>
      </c>
      <c r="AC194" s="64" t="n">
        <f aca="false">SUM(P194:AA194)</f>
        <v>1773783</v>
      </c>
      <c r="AD194" s="64" t="n">
        <f aca="false">SUM(C194:AA194)</f>
        <v>5769274</v>
      </c>
    </row>
    <row r="195" customFormat="false" ht="15" hidden="false" customHeight="false" outlineLevel="0" collapsed="false">
      <c r="A195" s="4" t="s">
        <v>716</v>
      </c>
      <c r="B195" s="2" t="s">
        <v>46</v>
      </c>
      <c r="C195" s="9" t="n">
        <f aca="false">Asumsi!$F$123+Asumsi!$F$124+Asumsi!$F$125+Asumsi!$F$126+Asumsi!$F$127+Asumsi!$F$128+Asumsi!$F$129+Asumsi!$F$130</f>
        <v>225000000</v>
      </c>
      <c r="D195" s="9" t="n">
        <f aca="false">IF(D$5=13,Asumsi!$F$131,0)</f>
        <v>0</v>
      </c>
      <c r="E195" s="9" t="n">
        <f aca="false">IF(E$5=13,Asumsi!$F$131,0)</f>
        <v>0</v>
      </c>
      <c r="F195" s="9" t="n">
        <f aca="false">IF(F$5=13,Asumsi!$F$131,0)</f>
        <v>0</v>
      </c>
      <c r="G195" s="9" t="n">
        <f aca="false">IF(G$5=13,Asumsi!$F$131,0)</f>
        <v>0</v>
      </c>
      <c r="H195" s="9" t="n">
        <f aca="false">IF(H$5=13,Asumsi!$F$131,0)</f>
        <v>0</v>
      </c>
      <c r="I195" s="9" t="n">
        <f aca="false">IF(I$5=13,Asumsi!$F$131,0)</f>
        <v>0</v>
      </c>
      <c r="J195" s="9" t="n">
        <f aca="false">IF(J$5=13,Asumsi!$F$131,0)</f>
        <v>0</v>
      </c>
      <c r="K195" s="9" t="n">
        <f aca="false">IF(K$5=13,Asumsi!$F$131,0)</f>
        <v>0</v>
      </c>
      <c r="L195" s="9" t="n">
        <f aca="false">IF(L$5=13,Asumsi!$F$131,0)</f>
        <v>0</v>
      </c>
      <c r="M195" s="9" t="n">
        <f aca="false">IF(M$5=13,Asumsi!$F$131,0)</f>
        <v>0</v>
      </c>
      <c r="N195" s="9" t="n">
        <f aca="false">IF(N$5=13,Asumsi!$F$131,0)</f>
        <v>0</v>
      </c>
      <c r="O195" s="9" t="n">
        <f aca="false">IF(O$5=13,Asumsi!$F$131,0)</f>
        <v>0</v>
      </c>
      <c r="P195" s="9" t="n">
        <f aca="false">IF(P$5=13,Asumsi!$F$131,0)</f>
        <v>35000000</v>
      </c>
      <c r="Q195" s="9" t="n">
        <f aca="false">IF(Q$5=13,Asumsi!$F$131,0)</f>
        <v>0</v>
      </c>
      <c r="R195" s="9" t="n">
        <f aca="false">IF(R$5=13,Asumsi!$F$131,0)</f>
        <v>0</v>
      </c>
      <c r="S195" s="9" t="n">
        <f aca="false">IF(S$5=13,Asumsi!$F$131,0)</f>
        <v>0</v>
      </c>
      <c r="T195" s="9" t="n">
        <f aca="false">IF(T$5=13,Asumsi!$F$131,0)</f>
        <v>0</v>
      </c>
      <c r="U195" s="9" t="n">
        <f aca="false">IF(U$5=13,Asumsi!$F$131,0)</f>
        <v>0</v>
      </c>
      <c r="V195" s="9" t="n">
        <f aca="false">IF(V$5=13,Asumsi!$F$131,0)</f>
        <v>0</v>
      </c>
      <c r="W195" s="9" t="n">
        <f aca="false">IF(W$5=13,Asumsi!$F$131,0)</f>
        <v>0</v>
      </c>
      <c r="X195" s="9" t="n">
        <f aca="false">IF(X$5=13,Asumsi!$F$131,0)</f>
        <v>0</v>
      </c>
      <c r="Y195" s="9" t="n">
        <f aca="false">IF(Y$5=13,Asumsi!$F$131,0)</f>
        <v>0</v>
      </c>
      <c r="Z195" s="9" t="n">
        <f aca="false">IF(Z$5=13,Asumsi!$F$131,0)</f>
        <v>0</v>
      </c>
      <c r="AA195" s="9" t="n">
        <f aca="false">IF(AA$5=13,Asumsi!$F$131,0)</f>
        <v>0</v>
      </c>
      <c r="AB195" s="64" t="n">
        <f aca="false">SUM(D195:O195)</f>
        <v>0</v>
      </c>
      <c r="AC195" s="64" t="n">
        <f aca="false">SUM(P195:AA195)</f>
        <v>35000000</v>
      </c>
      <c r="AD195" s="64" t="n">
        <f aca="false">SUM(C195:AA195)</f>
        <v>260000000</v>
      </c>
    </row>
    <row r="196" customFormat="false" ht="15" hidden="false" customHeight="false" outlineLevel="0" collapsed="false">
      <c r="A196" s="4" t="s">
        <v>717</v>
      </c>
      <c r="B196" s="2" t="s">
        <v>46</v>
      </c>
      <c r="C196" s="9" t="n">
        <f aca="false">Asumsi!$F$119*(C190+C191+C192+C193)</f>
        <v>22361253</v>
      </c>
      <c r="D196" s="9" t="n">
        <f aca="false">Asumsi!$F$119*(D190+D191+D192+D193)</f>
        <v>8703751</v>
      </c>
      <c r="E196" s="9" t="n">
        <f aca="false">Asumsi!$F$119*(E190+E191+E192+E193)</f>
        <v>8703751</v>
      </c>
      <c r="F196" s="9" t="n">
        <f aca="false">Asumsi!$F$119*(F190+F191+F192+F193)</f>
        <v>8703751</v>
      </c>
      <c r="G196" s="9" t="n">
        <f aca="false">Asumsi!$F$119*(G190+G191+G192+G193)</f>
        <v>8703751</v>
      </c>
      <c r="H196" s="9" t="n">
        <f aca="false">Asumsi!$F$119*(H190+H191+H192+H193)</f>
        <v>8703751</v>
      </c>
      <c r="I196" s="9" t="n">
        <f aca="false">Asumsi!$F$119*(I190+I191+I192+I193)</f>
        <v>8703751</v>
      </c>
      <c r="J196" s="9" t="n">
        <f aca="false">Asumsi!$F$119*(J190+J191+J192+J193)</f>
        <v>8703751</v>
      </c>
      <c r="K196" s="9" t="n">
        <f aca="false">Asumsi!$F$119*(K190+K191+K192+K193)</f>
        <v>8703751</v>
      </c>
      <c r="L196" s="9" t="n">
        <f aca="false">Asumsi!$F$119*(L190+L191+L192+L193)</f>
        <v>8703751</v>
      </c>
      <c r="M196" s="9" t="n">
        <f aca="false">Asumsi!$F$119*(M190+M191+M192+M193)</f>
        <v>8703751</v>
      </c>
      <c r="N196" s="9" t="n">
        <f aca="false">Asumsi!$F$119*(N190+N191+N192+N193)</f>
        <v>8703751</v>
      </c>
      <c r="O196" s="9" t="n">
        <f aca="false">Asumsi!$F$119*(O190+O191+O192+O193)</f>
        <v>8703751</v>
      </c>
      <c r="P196" s="9" t="n">
        <f aca="false">Asumsi!$F$119*(P190+P191+P192+P193)</f>
        <v>11703751</v>
      </c>
      <c r="Q196" s="9" t="n">
        <f aca="false">Asumsi!$F$119*(Q190+Q191+Q192+Q193)</f>
        <v>11703751</v>
      </c>
      <c r="R196" s="9" t="n">
        <f aca="false">Asumsi!$F$119*(R190+R191+R192+R193)</f>
        <v>11703751</v>
      </c>
      <c r="S196" s="9" t="n">
        <f aca="false">Asumsi!$F$119*(S190+S191+S192+S193)</f>
        <v>11703751</v>
      </c>
      <c r="T196" s="9" t="n">
        <f aca="false">Asumsi!$F$119*(T190+T191+T192+T193)</f>
        <v>11703751</v>
      </c>
      <c r="U196" s="9" t="n">
        <f aca="false">Asumsi!$F$119*(U190+U191+U192+U193)</f>
        <v>11703751</v>
      </c>
      <c r="V196" s="9" t="n">
        <f aca="false">Asumsi!$F$119*(V190+V191+V192+V193)</f>
        <v>11703751</v>
      </c>
      <c r="W196" s="9" t="n">
        <f aca="false">Asumsi!$F$119*(W190+W191+W192+W193)</f>
        <v>11703751</v>
      </c>
      <c r="X196" s="9" t="n">
        <f aca="false">Asumsi!$F$119*(X190+X191+X192+X193)</f>
        <v>11703751</v>
      </c>
      <c r="Y196" s="9" t="n">
        <f aca="false">Asumsi!$F$119*(Y190+Y191+Y192+Y193)</f>
        <v>11703751</v>
      </c>
      <c r="Z196" s="9" t="n">
        <f aca="false">Asumsi!$F$119*(Z190+Z191+Z192+Z193)</f>
        <v>11703751</v>
      </c>
      <c r="AA196" s="9" t="n">
        <f aca="false">Asumsi!$F$119*(AA190+AA191+AA192+AA193)</f>
        <v>11703751</v>
      </c>
      <c r="AB196" s="64" t="n">
        <f aca="false">SUM(D196:O196)</f>
        <v>104445012</v>
      </c>
      <c r="AC196" s="64" t="n">
        <f aca="false">SUM(P196:AA196)</f>
        <v>140445012</v>
      </c>
      <c r="AD196" s="64" t="n">
        <f aca="false">SUM(C196:AA196)</f>
        <v>267251277</v>
      </c>
    </row>
    <row r="197" customFormat="false" ht="15" hidden="false" customHeight="false" outlineLevel="0" collapsed="false">
      <c r="A197" s="25" t="s">
        <v>718</v>
      </c>
      <c r="B197" s="2" t="s">
        <v>46</v>
      </c>
      <c r="C197" s="64" t="n">
        <f aca="false">SUM(C189:C196)</f>
        <v>473195491</v>
      </c>
      <c r="D197" s="64" t="n">
        <f aca="false">SUM(D189:D196)</f>
        <v>100741261</v>
      </c>
      <c r="E197" s="64" t="n">
        <f aca="false">SUM(E189:E196)</f>
        <v>100741261</v>
      </c>
      <c r="F197" s="64" t="n">
        <f aca="false">SUM(F189:F196)</f>
        <v>100741261</v>
      </c>
      <c r="G197" s="64" t="n">
        <f aca="false">SUM(G189:G196)</f>
        <v>120741261</v>
      </c>
      <c r="H197" s="64" t="n">
        <f aca="false">SUM(H189:H196)</f>
        <v>120741261</v>
      </c>
      <c r="I197" s="64" t="n">
        <f aca="false">SUM(I189:I196)</f>
        <v>120741261</v>
      </c>
      <c r="J197" s="64" t="n">
        <f aca="false">SUM(J189:J196)</f>
        <v>120741261</v>
      </c>
      <c r="K197" s="64" t="n">
        <f aca="false">SUM(K189:K196)</f>
        <v>120741261</v>
      </c>
      <c r="L197" s="64" t="n">
        <f aca="false">SUM(L189:L196)</f>
        <v>120741261</v>
      </c>
      <c r="M197" s="64" t="n">
        <f aca="false">SUM(M189:M196)</f>
        <v>120741261</v>
      </c>
      <c r="N197" s="64" t="n">
        <f aca="false">SUM(N189:N196)</f>
        <v>120741261</v>
      </c>
      <c r="O197" s="64" t="n">
        <f aca="false">SUM(O189:O196)</f>
        <v>122515044</v>
      </c>
      <c r="P197" s="64" t="n">
        <f aca="false">SUM(P189:P196)</f>
        <v>198741261</v>
      </c>
      <c r="Q197" s="64" t="n">
        <f aca="false">SUM(Q189:Q196)</f>
        <v>163741261</v>
      </c>
      <c r="R197" s="64" t="n">
        <f aca="false">SUM(R189:R196)</f>
        <v>163741261</v>
      </c>
      <c r="S197" s="64" t="n">
        <f aca="false">SUM(S189:S196)</f>
        <v>163741261</v>
      </c>
      <c r="T197" s="64" t="n">
        <f aca="false">SUM(T189:T196)</f>
        <v>163741261</v>
      </c>
      <c r="U197" s="64" t="n">
        <f aca="false">SUM(U189:U196)</f>
        <v>163741261</v>
      </c>
      <c r="V197" s="64" t="n">
        <f aca="false">SUM(V189:V196)</f>
        <v>163741261</v>
      </c>
      <c r="W197" s="64" t="n">
        <f aca="false">SUM(W189:W196)</f>
        <v>163741261</v>
      </c>
      <c r="X197" s="64" t="n">
        <f aca="false">SUM(X189:X196)</f>
        <v>163741261</v>
      </c>
      <c r="Y197" s="64" t="n">
        <f aca="false">SUM(Y189:Y196)</f>
        <v>163741261</v>
      </c>
      <c r="Z197" s="64" t="n">
        <f aca="false">SUM(Z189:Z196)</f>
        <v>163741261</v>
      </c>
      <c r="AA197" s="64" t="n">
        <f aca="false">SUM(AA189:AA196)</f>
        <v>165515044</v>
      </c>
      <c r="AB197" s="64" t="n">
        <f aca="false">SUM(D197:O197)</f>
        <v>1390668915</v>
      </c>
      <c r="AC197" s="64" t="n">
        <f aca="false">SUM(P197:AA197)</f>
        <v>2001668915</v>
      </c>
      <c r="AD197" s="64" t="n">
        <f aca="false">SUM(C197:AA197)</f>
        <v>3865533321</v>
      </c>
    </row>
    <row r="198" customFormat="false" ht="15" hidden="false" customHeight="false" outlineLevel="0" collapsed="false">
      <c r="A198" s="7" t="s">
        <v>719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customFormat="false" ht="15" hidden="false" customHeight="false" outlineLevel="0" collapsed="false">
      <c r="A199" s="25" t="s">
        <v>720</v>
      </c>
      <c r="B199" s="2" t="s">
        <v>46</v>
      </c>
      <c r="C199" s="64" t="n">
        <f aca="false">C186-C197</f>
        <v>-474088533.285</v>
      </c>
      <c r="D199" s="64" t="n">
        <f aca="false">D186-D197</f>
        <v>-94842944.2950192</v>
      </c>
      <c r="E199" s="64" t="n">
        <f aca="false">E186-E197</f>
        <v>-93237844.0336687</v>
      </c>
      <c r="F199" s="64" t="n">
        <f aca="false">F186-F197</f>
        <v>-91921703.1883294</v>
      </c>
      <c r="G199" s="64" t="n">
        <f aca="false">G186-G197</f>
        <v>-102359618.332461</v>
      </c>
      <c r="H199" s="64" t="n">
        <f aca="false">H186-H197</f>
        <v>-97654099.9690323</v>
      </c>
      <c r="I199" s="64" t="n">
        <f aca="false">I186-I197</f>
        <v>-94579784.7359126</v>
      </c>
      <c r="J199" s="64" t="n">
        <f aca="false">J186-J197</f>
        <v>-88652305.1753823</v>
      </c>
      <c r="K199" s="64" t="n">
        <f aca="false">K186-K197</f>
        <v>-85105758.6481814</v>
      </c>
      <c r="L199" s="64" t="n">
        <f aca="false">L186-L197</f>
        <v>-81439314.38621</v>
      </c>
      <c r="M199" s="64" t="n">
        <f aca="false">M186-M197</f>
        <v>-77632643.4885754</v>
      </c>
      <c r="N199" s="64" t="n">
        <f aca="false">N186-N197</f>
        <v>-73663396.3185355</v>
      </c>
      <c r="O199" s="64" t="n">
        <f aca="false">O186-O197</f>
        <v>-71280760.0174654</v>
      </c>
      <c r="P199" s="64" t="n">
        <f aca="false">P186-P197</f>
        <v>-137625468.068229</v>
      </c>
      <c r="Q199" s="64" t="n">
        <f aca="false">Q186-Q197</f>
        <v>-97184565.5463136</v>
      </c>
      <c r="R199" s="64" t="n">
        <f aca="false">R186-R197</f>
        <v>-91488975.9252275</v>
      </c>
      <c r="S199" s="64" t="n">
        <f aca="false">S186-S197</f>
        <v>-85501727.2798497</v>
      </c>
      <c r="T199" s="64" t="n">
        <f aca="false">T186-T197</f>
        <v>-79182066.8061224</v>
      </c>
      <c r="U199" s="64" t="n">
        <f aca="false">U186-U197</f>
        <v>-72485042.3707863</v>
      </c>
      <c r="V199" s="64" t="n">
        <f aca="false">V186-V197</f>
        <v>-65361038.7245373</v>
      </c>
      <c r="W199" s="64" t="n">
        <f aca="false">W186-W197</f>
        <v>-57755263.4476525</v>
      </c>
      <c r="X199" s="64" t="n">
        <f aca="false">X186-X197</f>
        <v>-49607177.1621909</v>
      </c>
      <c r="Y199" s="64" t="n">
        <f aca="false">Y186-Y197</f>
        <v>-40849861.9519621</v>
      </c>
      <c r="Z199" s="64" t="n">
        <f aca="false">Z186-Z197</f>
        <v>-31409321.2743093</v>
      </c>
      <c r="AA199" s="64" t="n">
        <f aca="false">AA186-AA197</f>
        <v>-22977486.919416</v>
      </c>
      <c r="AB199" s="64" t="n">
        <f aca="false">SUM(D199:O199)</f>
        <v>-1052370172.58877</v>
      </c>
      <c r="AC199" s="64" t="n">
        <f aca="false">SUM(P199:AA199)</f>
        <v>-831427995.476596</v>
      </c>
      <c r="AD199" s="64" t="n">
        <f aca="false">SUM(C199:AA199)</f>
        <v>-2357886701.35037</v>
      </c>
    </row>
    <row r="200" customFormat="false" ht="15" hidden="false" customHeight="false" outlineLevel="0" collapsed="false">
      <c r="A200" s="4" t="s">
        <v>721</v>
      </c>
      <c r="B200" s="2" t="s">
        <v>46</v>
      </c>
      <c r="D200" s="9" t="n">
        <f aca="false">IF(Asumsi!$F$13&gt;=1,C173-D173,0)</f>
        <v>-10033700</v>
      </c>
      <c r="E200" s="9" t="n">
        <f aca="false">IF(Asumsi!$F$13&gt;=1,D173-E173,0)</f>
        <v>-2452662.2524126</v>
      </c>
      <c r="F200" s="9" t="n">
        <f aca="false">IF(Asumsi!$F$13&gt;=1,E173-F173,0)</f>
        <v>-2069726.69407073</v>
      </c>
      <c r="G200" s="9" t="n">
        <f aca="false">IF(Asumsi!$F$13&gt;=1,F173-G173,0)</f>
        <v>-15506552.5934136</v>
      </c>
      <c r="H200" s="9" t="n">
        <f aca="false">IF(Asumsi!$F$13&gt;=1,G173-H173,0)</f>
        <v>-6955907.1611306</v>
      </c>
      <c r="I200" s="9" t="n">
        <f aca="false">IF(Asumsi!$F$13&gt;=1,H173-I173,0)</f>
        <v>-4707022.71943212</v>
      </c>
      <c r="J200" s="9" t="n">
        <f aca="false">IF(Asumsi!$F$13&gt;=1,I173-J173,0)</f>
        <v>-7617917.73494744</v>
      </c>
      <c r="K200" s="9" t="n">
        <f aca="false">IF(Asumsi!$F$13&gt;=1,J173-K173,0)</f>
        <v>-5304472.48917788</v>
      </c>
      <c r="L200" s="9" t="n">
        <f aca="false">IF(Asumsi!$F$13&gt;=1,K173-L173,0)</f>
        <v>-5502608.56461643</v>
      </c>
      <c r="M200" s="9" t="n">
        <f aca="false">IF(Asumsi!$F$13&gt;=1,L173-M173,0)</f>
        <v>-5732930.49032198</v>
      </c>
      <c r="N200" s="9" t="n">
        <f aca="false">IF(Asumsi!$F$13&gt;=1,M173-N173,0)</f>
        <v>-5998690.84537736</v>
      </c>
      <c r="O200" s="9" t="n">
        <f aca="false">IF(Asumsi!$F$13&gt;=1,N173-O173,0)</f>
        <v>-6303507.04110543</v>
      </c>
      <c r="P200" s="9" t="n">
        <f aca="false">IF(Asumsi!$F$13&gt;=1,O173-P173,0)</f>
        <v>-15118067.8379569</v>
      </c>
      <c r="Q200" s="9" t="n">
        <f aca="false">IF(Asumsi!$F$13&gt;=1,P173-Q173,0)</f>
        <v>-8229259.7982634</v>
      </c>
      <c r="R200" s="9" t="n">
        <f aca="false">IF(Asumsi!$F$13&gt;=1,Q173-R173,0)</f>
        <v>-8645177.36059099</v>
      </c>
      <c r="S200" s="9" t="n">
        <f aca="false">IF(Asumsi!$F$13&gt;=1,R173-S173,0)</f>
        <v>-9120002.7546418</v>
      </c>
      <c r="T200" s="9" t="n">
        <f aca="false">IF(Asumsi!$F$13&gt;=1,S173-T173,0)</f>
        <v>-9659846.91100071</v>
      </c>
      <c r="U200" s="9" t="n">
        <f aca="false">IF(Asumsi!$F$13&gt;=1,T173-U173,0)</f>
        <v>-10271501.4751744</v>
      </c>
      <c r="V200" s="9" t="n">
        <f aca="false">IF(Asumsi!$F$13&gt;=1,U173-V173,0)</f>
        <v>-10962513.2772854</v>
      </c>
      <c r="W200" s="9" t="n">
        <f aca="false">IF(Asumsi!$F$13&gt;=1,V173-W173,0)</f>
        <v>-11741266.9831259</v>
      </c>
      <c r="X200" s="9" t="n">
        <f aca="false">IF(Asumsi!$F$13&gt;=1,W173-X173,0)</f>
        <v>-12617076.8242297</v>
      </c>
      <c r="Y200" s="9" t="n">
        <f aca="false">IF(Asumsi!$F$13&gt;=1,X173-Y173,0)</f>
        <v>-13600288.4031231</v>
      </c>
      <c r="Z200" s="9" t="n">
        <f aca="false">IF(Asumsi!$F$13&gt;=1,Y173-Z173,0)</f>
        <v>-14702391.6792159</v>
      </c>
      <c r="AA200" s="9" t="n">
        <f aca="false">IF(Asumsi!$F$13&gt;=1,Z173-AA173,0)</f>
        <v>-15936146.362078</v>
      </c>
      <c r="AB200" s="64" t="n">
        <f aca="false">SUM(D200:O200)</f>
        <v>-78185698.5860062</v>
      </c>
      <c r="AC200" s="64" t="n">
        <f aca="false">SUM(P200:AA200)</f>
        <v>-140603539.666686</v>
      </c>
      <c r="AD200" s="64" t="n">
        <f aca="false">SUM(C200:AA200)</f>
        <v>-218789238.252692</v>
      </c>
    </row>
    <row r="201" customFormat="false" ht="15" hidden="false" customHeight="false" outlineLevel="0" collapsed="false">
      <c r="A201" s="4" t="s">
        <v>722</v>
      </c>
      <c r="B201" s="2" t="s">
        <v>46</v>
      </c>
      <c r="C201" s="36" t="n">
        <f aca="false">C199+C200</f>
        <v>-474088533.285</v>
      </c>
      <c r="D201" s="36" t="n">
        <f aca="false">D199+D200</f>
        <v>-104876644.295019</v>
      </c>
      <c r="E201" s="36" t="n">
        <f aca="false">E199+E200</f>
        <v>-95690506.2860813</v>
      </c>
      <c r="F201" s="36" t="n">
        <f aca="false">F199+F200</f>
        <v>-93991429.8824001</v>
      </c>
      <c r="G201" s="36" t="n">
        <f aca="false">G199+G200</f>
        <v>-117866170.925874</v>
      </c>
      <c r="H201" s="36" t="n">
        <f aca="false">H199+H200</f>
        <v>-104610007.130163</v>
      </c>
      <c r="I201" s="36" t="n">
        <f aca="false">I199+I200</f>
        <v>-99286807.4553447</v>
      </c>
      <c r="J201" s="36" t="n">
        <f aca="false">J199+J200</f>
        <v>-96270222.9103298</v>
      </c>
      <c r="K201" s="36" t="n">
        <f aca="false">K199+K200</f>
        <v>-90410231.1373593</v>
      </c>
      <c r="L201" s="36" t="n">
        <f aca="false">L199+L200</f>
        <v>-86941922.9508265</v>
      </c>
      <c r="M201" s="36" t="n">
        <f aca="false">M199+M200</f>
        <v>-83365573.9788974</v>
      </c>
      <c r="N201" s="36" t="n">
        <f aca="false">N199+N200</f>
        <v>-79662087.1639129</v>
      </c>
      <c r="O201" s="36" t="n">
        <f aca="false">O199+O200</f>
        <v>-77584267.0585709</v>
      </c>
      <c r="P201" s="36" t="n">
        <f aca="false">P199+P200</f>
        <v>-152743535.906185</v>
      </c>
      <c r="Q201" s="36" t="n">
        <f aca="false">Q199+Q200</f>
        <v>-105413825.344577</v>
      </c>
      <c r="R201" s="36" t="n">
        <f aca="false">R199+R200</f>
        <v>-100134153.285819</v>
      </c>
      <c r="S201" s="36" t="n">
        <f aca="false">S199+S200</f>
        <v>-94621730.0344915</v>
      </c>
      <c r="T201" s="36" t="n">
        <f aca="false">T199+T200</f>
        <v>-88841913.7171231</v>
      </c>
      <c r="U201" s="36" t="n">
        <f aca="false">U199+U200</f>
        <v>-82756543.8459606</v>
      </c>
      <c r="V201" s="36" t="n">
        <f aca="false">V199+V200</f>
        <v>-76323552.0018227</v>
      </c>
      <c r="W201" s="36" t="n">
        <f aca="false">W199+W200</f>
        <v>-69496530.4307784</v>
      </c>
      <c r="X201" s="36" t="n">
        <f aca="false">X199+X200</f>
        <v>-62224253.9864205</v>
      </c>
      <c r="Y201" s="36" t="n">
        <f aca="false">Y199+Y200</f>
        <v>-54450150.3550851</v>
      </c>
      <c r="Z201" s="36" t="n">
        <f aca="false">Z199+Z200</f>
        <v>-46111712.9535253</v>
      </c>
      <c r="AA201" s="36" t="n">
        <f aca="false">AA199+AA200</f>
        <v>-38913633.281494</v>
      </c>
      <c r="AB201" s="64" t="n">
        <f aca="false">SUM(D201:O201)</f>
        <v>-1130555871.17478</v>
      </c>
      <c r="AC201" s="64" t="n">
        <f aca="false">SUM(P201:AA201)</f>
        <v>-972031535.143282</v>
      </c>
      <c r="AD201" s="64" t="n">
        <f aca="false">SUM(C201:AA201)</f>
        <v>-2576675939.60306</v>
      </c>
    </row>
    <row r="202" customFormat="false" ht="15" hidden="false" customHeight="false" outlineLevel="0" collapsed="false">
      <c r="A202" s="25" t="s">
        <v>723</v>
      </c>
      <c r="B202" s="2" t="s">
        <v>46</v>
      </c>
      <c r="C202" s="64" t="n">
        <f aca="false">C201</f>
        <v>-474088533.285</v>
      </c>
      <c r="D202" s="64" t="n">
        <f aca="false">C202+D201</f>
        <v>-578965177.580019</v>
      </c>
      <c r="E202" s="64" t="n">
        <f aca="false">D202+E201</f>
        <v>-674655683.866101</v>
      </c>
      <c r="F202" s="64" t="n">
        <f aca="false">E202+F201</f>
        <v>-768647113.748501</v>
      </c>
      <c r="G202" s="64" t="n">
        <f aca="false">F202+G201</f>
        <v>-886513284.674375</v>
      </c>
      <c r="H202" s="64" t="n">
        <f aca="false">G202+H201</f>
        <v>-991123291.804538</v>
      </c>
      <c r="I202" s="64" t="n">
        <f aca="false">H202+I201</f>
        <v>-1090410099.25988</v>
      </c>
      <c r="J202" s="64" t="n">
        <f aca="false">I202+J201</f>
        <v>-1186680322.17021</v>
      </c>
      <c r="K202" s="64" t="n">
        <f aca="false">J202+K201</f>
        <v>-1277090553.30757</v>
      </c>
      <c r="L202" s="64" t="n">
        <f aca="false">K202+L201</f>
        <v>-1364032476.2584</v>
      </c>
      <c r="M202" s="64" t="n">
        <f aca="false">L202+M201</f>
        <v>-1447398050.2373</v>
      </c>
      <c r="N202" s="64" t="n">
        <f aca="false">M202+N201</f>
        <v>-1527060137.40121</v>
      </c>
      <c r="O202" s="64" t="n">
        <f aca="false">N202+O201</f>
        <v>-1604644404.45978</v>
      </c>
      <c r="P202" s="64" t="n">
        <f aca="false">O202+P201</f>
        <v>-1757387940.36596</v>
      </c>
      <c r="Q202" s="64" t="n">
        <f aca="false">P202+Q201</f>
        <v>-1862801765.71054</v>
      </c>
      <c r="R202" s="64" t="n">
        <f aca="false">Q202+R201</f>
        <v>-1962935918.99636</v>
      </c>
      <c r="S202" s="64" t="n">
        <f aca="false">R202+S201</f>
        <v>-2057557649.03085</v>
      </c>
      <c r="T202" s="64" t="n">
        <f aca="false">S202+T201</f>
        <v>-2146399562.74797</v>
      </c>
      <c r="U202" s="64" t="n">
        <f aca="false">T202+U201</f>
        <v>-2229156106.59394</v>
      </c>
      <c r="V202" s="64" t="n">
        <f aca="false">U202+V201</f>
        <v>-2305479658.59576</v>
      </c>
      <c r="W202" s="64" t="n">
        <f aca="false">V202+W201</f>
        <v>-2374976189.02654</v>
      </c>
      <c r="X202" s="64" t="n">
        <f aca="false">W202+X201</f>
        <v>-2437200443.01296</v>
      </c>
      <c r="Y202" s="64" t="n">
        <f aca="false">X202+Y201</f>
        <v>-2491650593.36804</v>
      </c>
      <c r="Z202" s="64" t="n">
        <f aca="false">Y202+Z201</f>
        <v>-2537762306.32157</v>
      </c>
      <c r="AA202" s="64" t="n">
        <f aca="false">Z202+AA201</f>
        <v>-2576675939.60306</v>
      </c>
      <c r="AB202" s="64" t="n">
        <f aca="false">O202</f>
        <v>-1604644404.45978</v>
      </c>
      <c r="AC202" s="64" t="n">
        <f aca="false">AA202</f>
        <v>-2576675939.60306</v>
      </c>
      <c r="AD202" s="64" t="n">
        <f aca="false">AA202</f>
        <v>-2576675939.60306</v>
      </c>
    </row>
    <row r="203" customFormat="false" ht="15" hidden="false" customHeight="false" outlineLevel="0" collapsed="false">
      <c r="A203" s="4" t="s">
        <v>724</v>
      </c>
      <c r="B203" s="2" t="s">
        <v>81</v>
      </c>
      <c r="D203" s="44" t="n">
        <f aca="false">IF(D199&gt;=0,D$5,999)</f>
        <v>999</v>
      </c>
      <c r="E203" s="44" t="n">
        <f aca="false">IF(E199&gt;=0,E$5,999)</f>
        <v>999</v>
      </c>
      <c r="F203" s="44" t="n">
        <f aca="false">IF(F199&gt;=0,F$5,999)</f>
        <v>999</v>
      </c>
      <c r="G203" s="44" t="n">
        <f aca="false">IF(G199&gt;=0,G$5,999)</f>
        <v>999</v>
      </c>
      <c r="H203" s="44" t="n">
        <f aca="false">IF(H199&gt;=0,H$5,999)</f>
        <v>999</v>
      </c>
      <c r="I203" s="44" t="n">
        <f aca="false">IF(I199&gt;=0,I$5,999)</f>
        <v>999</v>
      </c>
      <c r="J203" s="44" t="n">
        <f aca="false">IF(J199&gt;=0,J$5,999)</f>
        <v>999</v>
      </c>
      <c r="K203" s="44" t="n">
        <f aca="false">IF(K199&gt;=0,K$5,999)</f>
        <v>999</v>
      </c>
      <c r="L203" s="44" t="n">
        <f aca="false">IF(L199&gt;=0,L$5,999)</f>
        <v>999</v>
      </c>
      <c r="M203" s="44" t="n">
        <f aca="false">IF(M199&gt;=0,M$5,999)</f>
        <v>999</v>
      </c>
      <c r="N203" s="44" t="n">
        <f aca="false">IF(N199&gt;=0,N$5,999)</f>
        <v>999</v>
      </c>
      <c r="O203" s="44" t="n">
        <f aca="false">IF(O199&gt;=0,O$5,999)</f>
        <v>999</v>
      </c>
      <c r="P203" s="44" t="n">
        <f aca="false">IF(P199&gt;=0,P$5,999)</f>
        <v>999</v>
      </c>
      <c r="Q203" s="44" t="n">
        <f aca="false">IF(Q199&gt;=0,Q$5,999)</f>
        <v>999</v>
      </c>
      <c r="R203" s="44" t="n">
        <f aca="false">IF(R199&gt;=0,R$5,999)</f>
        <v>999</v>
      </c>
      <c r="S203" s="44" t="n">
        <f aca="false">IF(S199&gt;=0,S$5,999)</f>
        <v>999</v>
      </c>
      <c r="T203" s="44" t="n">
        <f aca="false">IF(T199&gt;=0,T$5,999)</f>
        <v>999</v>
      </c>
      <c r="U203" s="44" t="n">
        <f aca="false">IF(U199&gt;=0,U$5,999)</f>
        <v>999</v>
      </c>
      <c r="V203" s="44" t="n">
        <f aca="false">IF(V199&gt;=0,V$5,999)</f>
        <v>999</v>
      </c>
      <c r="W203" s="44" t="n">
        <f aca="false">IF(W199&gt;=0,W$5,999)</f>
        <v>999</v>
      </c>
      <c r="X203" s="44" t="n">
        <f aca="false">IF(X199&gt;=0,X$5,999)</f>
        <v>999</v>
      </c>
      <c r="Y203" s="44" t="n">
        <f aca="false">IF(Y199&gt;=0,Y$5,999)</f>
        <v>999</v>
      </c>
      <c r="Z203" s="44" t="n">
        <f aca="false">IF(Z199&gt;=0,Z$5,999)</f>
        <v>999</v>
      </c>
      <c r="AA203" s="44" t="n">
        <f aca="false">IF(AA199&gt;=0,AA$5,999)</f>
        <v>999</v>
      </c>
    </row>
    <row r="205" customFormat="false" ht="15" hidden="false" customHeight="false" outlineLevel="0" collapsed="false">
      <c r="A205" s="2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2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728</v>
      </c>
    </row>
    <row r="2" customFormat="false" ht="15" hidden="false" customHeight="false" outlineLevel="0" collapsed="false">
      <c r="A2" s="3" t="str">
        <f aca="false">"Semua tabel memakai skenario aktif: "&amp;Asumsi!$D$4&amp;" (ubah di Asumsi!D4). Sel biru = sumbu yang boleh diubah."</f>
        <v>Semua tabel memakai skenario aktif: Dasar (ubah di Asumsi!D4). Sel biru = sumbu yang boleh diubah.</v>
      </c>
    </row>
    <row r="4" customFormat="false" ht="15" hidden="false" customHeight="false" outlineLevel="0" collapsed="false">
      <c r="A4" s="7" t="s">
        <v>729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customFormat="false" ht="15" hidden="false" customHeight="false" outlineLevel="0" collapsed="false">
      <c r="B5" s="4" t="s">
        <v>730</v>
      </c>
      <c r="C5" s="9" t="n">
        <f aca="false">INDEX('Unit Economics'!$C$18:$E$18,Asumsi!$D$5)</f>
        <v>2920133.65</v>
      </c>
    </row>
    <row r="6" customFormat="false" ht="15" hidden="false" customHeight="false" outlineLevel="0" collapsed="false">
      <c r="B6" s="4" t="s">
        <v>731</v>
      </c>
      <c r="C6" s="9" t="n">
        <f aca="false">INDEX('Unit Economics'!$C$8:$E$8,Asumsi!$D$5)</f>
        <v>2000000</v>
      </c>
    </row>
    <row r="7" customFormat="false" ht="15" hidden="false" customHeight="false" outlineLevel="0" collapsed="false">
      <c r="B7" s="4" t="s">
        <v>732</v>
      </c>
      <c r="C7" s="9" t="n">
        <f aca="false">INDEX('Unit Economics'!$C$58:$E$58,Asumsi!$D$5)</f>
        <v>45640.3</v>
      </c>
    </row>
    <row r="8" customFormat="false" ht="15" hidden="false" customHeight="false" outlineLevel="0" collapsed="false">
      <c r="B8" s="4" t="s">
        <v>733</v>
      </c>
      <c r="C8" s="9" t="n">
        <f aca="false">CHOOSE(Asumsi!$D$5,('Proyeksi 24 Bulan'!$AC$71-'Proyeksi 24 Bulan'!$AC$69)/12,('Proyeksi 24 Bulan'!$AC$134-'Proyeksi 24 Bulan'!$AC$132)/12,('Proyeksi 24 Bulan'!$AC$197-'Proyeksi 24 Bulan'!$AC$195)/12)</f>
        <v>163889076.25</v>
      </c>
    </row>
    <row r="9" customFormat="false" ht="15" hidden="false" customHeight="false" outlineLevel="0" collapsed="false">
      <c r="B9" s="4" t="s">
        <v>734</v>
      </c>
      <c r="C9" s="17" t="n">
        <f aca="false">INDEX('Unit Economics'!$C$62:$E$62,Asumsi!$D$5)</f>
        <v>0.0420865352612814</v>
      </c>
    </row>
    <row r="10" customFormat="false" ht="15" hidden="false" customHeight="false" outlineLevel="0" collapsed="false">
      <c r="B10" s="4" t="s">
        <v>735</v>
      </c>
      <c r="C10" s="9" t="n">
        <f aca="false">INDEX('Unit Economics'!$C$50:$E$50,Asumsi!$D$5)</f>
        <v>122898.307828379</v>
      </c>
    </row>
    <row r="11" customFormat="false" ht="15" hidden="false" customHeight="false" outlineLevel="0" collapsed="false">
      <c r="B11" s="4" t="s">
        <v>736</v>
      </c>
      <c r="C11" s="9" t="n">
        <f aca="false">INDEX('Unit Economics'!$C$57:$E$57,Asumsi!$D$5)</f>
        <v>77258.0078283793</v>
      </c>
    </row>
    <row r="12" customFormat="false" ht="15" hidden="false" customHeight="false" outlineLevel="0" collapsed="false">
      <c r="B12" s="4" t="s">
        <v>737</v>
      </c>
      <c r="C12" s="36" t="n">
        <f aca="false">IF(C11&gt;0,ROUNDUP(C8/C11,0),"CM ≤ 0")</f>
        <v>2122</v>
      </c>
    </row>
    <row r="14" customFormat="false" ht="15" hidden="false" customHeight="false" outlineLevel="0" collapsed="false">
      <c r="A14" s="7" t="s">
        <v>738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23.85" hidden="false" customHeight="false" outlineLevel="0" collapsed="false">
      <c r="B15" s="59" t="s">
        <v>739</v>
      </c>
      <c r="C15" s="67" t="n">
        <v>250</v>
      </c>
      <c r="D15" s="67" t="n">
        <v>500</v>
      </c>
      <c r="E15" s="67" t="n">
        <v>1000</v>
      </c>
      <c r="F15" s="67" t="n">
        <v>1500</v>
      </c>
      <c r="G15" s="67" t="n">
        <v>2000</v>
      </c>
      <c r="H15" s="67" t="n">
        <v>3000</v>
      </c>
      <c r="I15" s="67" t="n">
        <v>5000</v>
      </c>
      <c r="J15" s="67" t="n">
        <v>7500</v>
      </c>
      <c r="K15" s="67" t="n">
        <v>10000</v>
      </c>
      <c r="L15" s="6" t="s">
        <v>740</v>
      </c>
    </row>
    <row r="16" customFormat="false" ht="15" hidden="false" customHeight="false" outlineLevel="0" collapsed="false">
      <c r="B16" s="68" t="n">
        <v>0.03</v>
      </c>
      <c r="C16" s="49" t="n">
        <f aca="false">(C$15*($B16*$C$5-$C$7)-$C$8)/1000000</f>
        <v>-153.398148875</v>
      </c>
      <c r="D16" s="49" t="n">
        <f aca="false">(D$15*($B16*$C$5-$C$7)-$C$8)/1000000</f>
        <v>-142.9072215</v>
      </c>
      <c r="E16" s="49" t="n">
        <f aca="false">(E$15*($B16*$C$5-$C$7)-$C$8)/1000000</f>
        <v>-121.92536675</v>
      </c>
      <c r="F16" s="49" t="n">
        <f aca="false">(F$15*($B16*$C$5-$C$7)-$C$8)/1000000</f>
        <v>-100.943512</v>
      </c>
      <c r="G16" s="49" t="n">
        <f aca="false">(G$15*($B16*$C$5-$C$7)-$C$8)/1000000</f>
        <v>-79.96165725</v>
      </c>
      <c r="H16" s="49" t="n">
        <f aca="false">(H$15*($B16*$C$5-$C$7)-$C$8)/1000000</f>
        <v>-37.99794775</v>
      </c>
      <c r="I16" s="49" t="n">
        <f aca="false">(I$15*($B16*$C$5-$C$7)-$C$8)/1000000</f>
        <v>45.92947125</v>
      </c>
      <c r="J16" s="49" t="n">
        <f aca="false">(J$15*($B16*$C$5-$C$7)-$C$8)/1000000</f>
        <v>150.838745</v>
      </c>
      <c r="K16" s="49" t="n">
        <f aca="false">(K$15*($B16*$C$5-$C$7)-$C$8)/1000000</f>
        <v>255.74801875</v>
      </c>
      <c r="L16" s="40" t="n">
        <f aca="false">IF($C$6&gt;0,$B16*$C$5/$C$6,0)</f>
        <v>0.04380200475</v>
      </c>
    </row>
    <row r="17" customFormat="false" ht="15" hidden="false" customHeight="false" outlineLevel="0" collapsed="false">
      <c r="B17" s="68" t="n">
        <v>0.035</v>
      </c>
      <c r="C17" s="49" t="n">
        <f aca="false">(C$15*($B17*$C$5-$C$7)-$C$8)/1000000</f>
        <v>-149.7479818125</v>
      </c>
      <c r="D17" s="49" t="n">
        <f aca="false">(D$15*($B17*$C$5-$C$7)-$C$8)/1000000</f>
        <v>-135.606887375</v>
      </c>
      <c r="E17" s="49" t="n">
        <f aca="false">(E$15*($B17*$C$5-$C$7)-$C$8)/1000000</f>
        <v>-107.3246985</v>
      </c>
      <c r="F17" s="49" t="n">
        <f aca="false">(F$15*($B17*$C$5-$C$7)-$C$8)/1000000</f>
        <v>-79.042509625</v>
      </c>
      <c r="G17" s="49" t="n">
        <f aca="false">(G$15*($B17*$C$5-$C$7)-$C$8)/1000000</f>
        <v>-50.76032075</v>
      </c>
      <c r="H17" s="49" t="n">
        <f aca="false">(H$15*($B17*$C$5-$C$7)-$C$8)/1000000</f>
        <v>5.80405700000003</v>
      </c>
      <c r="I17" s="49" t="n">
        <f aca="false">(I$15*($B17*$C$5-$C$7)-$C$8)/1000000</f>
        <v>118.9328125</v>
      </c>
      <c r="J17" s="49" t="n">
        <f aca="false">(J$15*($B17*$C$5-$C$7)-$C$8)/1000000</f>
        <v>260.343756875</v>
      </c>
      <c r="K17" s="49" t="n">
        <f aca="false">(K$15*($B17*$C$5-$C$7)-$C$8)/1000000</f>
        <v>401.75470125</v>
      </c>
      <c r="L17" s="40" t="n">
        <f aca="false">IF($C$6&gt;0,$B17*$C$5/$C$6,0)</f>
        <v>0.051102338875</v>
      </c>
    </row>
    <row r="18" customFormat="false" ht="15" hidden="false" customHeight="false" outlineLevel="0" collapsed="false">
      <c r="B18" s="68" t="n">
        <v>0.04</v>
      </c>
      <c r="C18" s="49" t="n">
        <f aca="false">(C$15*($B18*$C$5-$C$7)-$C$8)/1000000</f>
        <v>-146.09781475</v>
      </c>
      <c r="D18" s="49" t="n">
        <f aca="false">(D$15*($B18*$C$5-$C$7)-$C$8)/1000000</f>
        <v>-128.30655325</v>
      </c>
      <c r="E18" s="49" t="n">
        <f aca="false">(E$15*($B18*$C$5-$C$7)-$C$8)/1000000</f>
        <v>-92.72403025</v>
      </c>
      <c r="F18" s="49" t="n">
        <f aca="false">(F$15*($B18*$C$5-$C$7)-$C$8)/1000000</f>
        <v>-57.14150725</v>
      </c>
      <c r="G18" s="49" t="n">
        <f aca="false">(G$15*($B18*$C$5-$C$7)-$C$8)/1000000</f>
        <v>-21.55898425</v>
      </c>
      <c r="H18" s="49" t="n">
        <f aca="false">(H$15*($B18*$C$5-$C$7)-$C$8)/1000000</f>
        <v>49.60606175</v>
      </c>
      <c r="I18" s="49" t="n">
        <f aca="false">(I$15*($B18*$C$5-$C$7)-$C$8)/1000000</f>
        <v>191.93615375</v>
      </c>
      <c r="J18" s="49" t="n">
        <f aca="false">(J$15*($B18*$C$5-$C$7)-$C$8)/1000000</f>
        <v>369.84876875</v>
      </c>
      <c r="K18" s="49" t="n">
        <f aca="false">(K$15*($B18*$C$5-$C$7)-$C$8)/1000000</f>
        <v>547.76138375</v>
      </c>
      <c r="L18" s="40" t="n">
        <f aca="false">IF($C$6&gt;0,$B18*$C$5/$C$6,0)</f>
        <v>0.058402673</v>
      </c>
    </row>
    <row r="19" customFormat="false" ht="15" hidden="false" customHeight="false" outlineLevel="0" collapsed="false">
      <c r="B19" s="68" t="n">
        <v>0.045</v>
      </c>
      <c r="C19" s="49" t="n">
        <f aca="false">(C$15*($B19*$C$5-$C$7)-$C$8)/1000000</f>
        <v>-142.4476476875</v>
      </c>
      <c r="D19" s="49" t="n">
        <f aca="false">(D$15*($B19*$C$5-$C$7)-$C$8)/1000000</f>
        <v>-121.006219125</v>
      </c>
      <c r="E19" s="49" t="n">
        <f aca="false">(E$15*($B19*$C$5-$C$7)-$C$8)/1000000</f>
        <v>-78.123362</v>
      </c>
      <c r="F19" s="49" t="n">
        <f aca="false">(F$15*($B19*$C$5-$C$7)-$C$8)/1000000</f>
        <v>-35.240504875</v>
      </c>
      <c r="G19" s="49" t="n">
        <f aca="false">(G$15*($B19*$C$5-$C$7)-$C$8)/1000000</f>
        <v>7.64235224999997</v>
      </c>
      <c r="H19" s="49" t="n">
        <f aca="false">(H$15*($B19*$C$5-$C$7)-$C$8)/1000000</f>
        <v>93.4080665</v>
      </c>
      <c r="I19" s="49" t="n">
        <f aca="false">(I$15*($B19*$C$5-$C$7)-$C$8)/1000000</f>
        <v>264.939495</v>
      </c>
      <c r="J19" s="49" t="n">
        <f aca="false">(J$15*($B19*$C$5-$C$7)-$C$8)/1000000</f>
        <v>479.353780625</v>
      </c>
      <c r="K19" s="49" t="n">
        <f aca="false">(K$15*($B19*$C$5-$C$7)-$C$8)/1000000</f>
        <v>693.76806625</v>
      </c>
      <c r="L19" s="40" t="n">
        <f aca="false">IF($C$6&gt;0,$B19*$C$5/$C$6,0)</f>
        <v>0.065703007125</v>
      </c>
    </row>
    <row r="20" customFormat="false" ht="15" hidden="false" customHeight="false" outlineLevel="0" collapsed="false">
      <c r="B20" s="68" t="n">
        <v>0.05</v>
      </c>
      <c r="C20" s="49" t="n">
        <f aca="false">(C$15*($B20*$C$5-$C$7)-$C$8)/1000000</f>
        <v>-138.797480625</v>
      </c>
      <c r="D20" s="49" t="n">
        <f aca="false">(D$15*($B20*$C$5-$C$7)-$C$8)/1000000</f>
        <v>-113.705885</v>
      </c>
      <c r="E20" s="49" t="n">
        <f aca="false">(E$15*($B20*$C$5-$C$7)-$C$8)/1000000</f>
        <v>-63.52269375</v>
      </c>
      <c r="F20" s="49" t="n">
        <f aca="false">(F$15*($B20*$C$5-$C$7)-$C$8)/1000000</f>
        <v>-13.3395025</v>
      </c>
      <c r="G20" s="49" t="n">
        <f aca="false">(G$15*($B20*$C$5-$C$7)-$C$8)/1000000</f>
        <v>36.84368875</v>
      </c>
      <c r="H20" s="49" t="n">
        <f aca="false">(H$15*($B20*$C$5-$C$7)-$C$8)/1000000</f>
        <v>137.21007125</v>
      </c>
      <c r="I20" s="49" t="n">
        <f aca="false">(I$15*($B20*$C$5-$C$7)-$C$8)/1000000</f>
        <v>337.94283625</v>
      </c>
      <c r="J20" s="49" t="n">
        <f aca="false">(J$15*($B20*$C$5-$C$7)-$C$8)/1000000</f>
        <v>588.8587925</v>
      </c>
      <c r="K20" s="49" t="n">
        <f aca="false">(K$15*($B20*$C$5-$C$7)-$C$8)/1000000</f>
        <v>839.77474875</v>
      </c>
      <c r="L20" s="40" t="n">
        <f aca="false">IF($C$6&gt;0,$B20*$C$5/$C$6,0)</f>
        <v>0.07300334125</v>
      </c>
    </row>
    <row r="21" customFormat="false" ht="15" hidden="false" customHeight="false" outlineLevel="0" collapsed="false">
      <c r="B21" s="68" t="n">
        <v>0.055</v>
      </c>
      <c r="C21" s="49" t="n">
        <f aca="false">(C$15*($B21*$C$5-$C$7)-$C$8)/1000000</f>
        <v>-135.1473135625</v>
      </c>
      <c r="D21" s="49" t="n">
        <f aca="false">(D$15*($B21*$C$5-$C$7)-$C$8)/1000000</f>
        <v>-106.405550875</v>
      </c>
      <c r="E21" s="49" t="n">
        <f aca="false">(E$15*($B21*$C$5-$C$7)-$C$8)/1000000</f>
        <v>-48.9220255</v>
      </c>
      <c r="F21" s="49" t="n">
        <f aca="false">(F$15*($B21*$C$5-$C$7)-$C$8)/1000000</f>
        <v>8.561499875</v>
      </c>
      <c r="G21" s="49" t="n">
        <f aca="false">(G$15*($B21*$C$5-$C$7)-$C$8)/1000000</f>
        <v>66.04502525</v>
      </c>
      <c r="H21" s="49" t="n">
        <f aca="false">(H$15*($B21*$C$5-$C$7)-$C$8)/1000000</f>
        <v>181.012076</v>
      </c>
      <c r="I21" s="49" t="n">
        <f aca="false">(I$15*($B21*$C$5-$C$7)-$C$8)/1000000</f>
        <v>410.9461775</v>
      </c>
      <c r="J21" s="49" t="n">
        <f aca="false">(J$15*($B21*$C$5-$C$7)-$C$8)/1000000</f>
        <v>698.363804375</v>
      </c>
      <c r="K21" s="49" t="n">
        <f aca="false">(K$15*($B21*$C$5-$C$7)-$C$8)/1000000</f>
        <v>985.78143125</v>
      </c>
      <c r="L21" s="40" t="n">
        <f aca="false">IF($C$6&gt;0,$B21*$C$5/$C$6,0)</f>
        <v>0.080303675375</v>
      </c>
    </row>
    <row r="22" customFormat="false" ht="15" hidden="false" customHeight="false" outlineLevel="0" collapsed="false">
      <c r="B22" s="68" t="n">
        <v>0.06</v>
      </c>
      <c r="C22" s="49" t="n">
        <f aca="false">(C$15*($B22*$C$5-$C$7)-$C$8)/1000000</f>
        <v>-131.4971465</v>
      </c>
      <c r="D22" s="49" t="n">
        <f aca="false">(D$15*($B22*$C$5-$C$7)-$C$8)/1000000</f>
        <v>-99.10521675</v>
      </c>
      <c r="E22" s="49" t="n">
        <f aca="false">(E$15*($B22*$C$5-$C$7)-$C$8)/1000000</f>
        <v>-34.32135725</v>
      </c>
      <c r="F22" s="49" t="n">
        <f aca="false">(F$15*($B22*$C$5-$C$7)-$C$8)/1000000</f>
        <v>30.46250225</v>
      </c>
      <c r="G22" s="49" t="n">
        <f aca="false">(G$15*($B22*$C$5-$C$7)-$C$8)/1000000</f>
        <v>95.24636175</v>
      </c>
      <c r="H22" s="49" t="n">
        <f aca="false">(H$15*($B22*$C$5-$C$7)-$C$8)/1000000</f>
        <v>224.81408075</v>
      </c>
      <c r="I22" s="49" t="n">
        <f aca="false">(I$15*($B22*$C$5-$C$7)-$C$8)/1000000</f>
        <v>483.94951875</v>
      </c>
      <c r="J22" s="49" t="n">
        <f aca="false">(J$15*($B22*$C$5-$C$7)-$C$8)/1000000</f>
        <v>807.86881625</v>
      </c>
      <c r="K22" s="49" t="n">
        <f aca="false">(K$15*($B22*$C$5-$C$7)-$C$8)/1000000</f>
        <v>1131.78811375</v>
      </c>
      <c r="L22" s="40" t="n">
        <f aca="false">IF($C$6&gt;0,$B22*$C$5/$C$6,0)</f>
        <v>0.0876040095</v>
      </c>
    </row>
    <row r="23" customFormat="false" ht="15" hidden="false" customHeight="false" outlineLevel="0" collapsed="false">
      <c r="B23" s="68" t="n">
        <v>0.07</v>
      </c>
      <c r="C23" s="49" t="n">
        <f aca="false">(C$15*($B23*$C$5-$C$7)-$C$8)/1000000</f>
        <v>-124.196812375</v>
      </c>
      <c r="D23" s="49" t="n">
        <f aca="false">(D$15*($B23*$C$5-$C$7)-$C$8)/1000000</f>
        <v>-84.5045485</v>
      </c>
      <c r="E23" s="49" t="n">
        <f aca="false">(E$15*($B23*$C$5-$C$7)-$C$8)/1000000</f>
        <v>-5.12002074999997</v>
      </c>
      <c r="F23" s="49" t="n">
        <f aca="false">(F$15*($B23*$C$5-$C$7)-$C$8)/1000000</f>
        <v>74.264507</v>
      </c>
      <c r="G23" s="49" t="n">
        <f aca="false">(G$15*($B23*$C$5-$C$7)-$C$8)/1000000</f>
        <v>153.64903475</v>
      </c>
      <c r="H23" s="49" t="n">
        <f aca="false">(H$15*($B23*$C$5-$C$7)-$C$8)/1000000</f>
        <v>312.41809025</v>
      </c>
      <c r="I23" s="49" t="n">
        <f aca="false">(I$15*($B23*$C$5-$C$7)-$C$8)/1000000</f>
        <v>629.95620125</v>
      </c>
      <c r="J23" s="49" t="n">
        <f aca="false">(J$15*($B23*$C$5-$C$7)-$C$8)/1000000</f>
        <v>1026.87884</v>
      </c>
      <c r="K23" s="49" t="n">
        <f aca="false">(K$15*($B23*$C$5-$C$7)-$C$8)/1000000</f>
        <v>1423.80147875</v>
      </c>
      <c r="L23" s="40" t="n">
        <f aca="false">IF($C$6&gt;0,$B23*$C$5/$C$6,0)</f>
        <v>0.10220467775</v>
      </c>
    </row>
    <row r="24" customFormat="false" ht="15" hidden="false" customHeight="false" outlineLevel="0" collapsed="false">
      <c r="B24" s="2" t="s">
        <v>741</v>
      </c>
    </row>
    <row r="26" customFormat="false" ht="15" hidden="false" customHeight="false" outlineLevel="0" collapsed="false">
      <c r="A26" s="7" t="s">
        <v>742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false" outlineLevel="0" collapsed="false">
      <c r="B27" s="4" t="s">
        <v>743</v>
      </c>
      <c r="C27" s="9" t="n">
        <f aca="false">INDEX('Unit Economics'!$C$22:$E$22,Asumsi!$D$5)</f>
        <v>14430</v>
      </c>
    </row>
    <row r="28" customFormat="false" ht="15" hidden="false" customHeight="false" outlineLevel="0" collapsed="false">
      <c r="B28" s="4" t="s">
        <v>744</v>
      </c>
      <c r="C28" s="9" t="n">
        <f aca="false">INDEX('Unit Economics'!$C$21:$E$21,Asumsi!$D$5)</f>
        <v>4500</v>
      </c>
    </row>
    <row r="29" customFormat="false" ht="15" hidden="false" customHeight="false" outlineLevel="0" collapsed="false">
      <c r="B29" s="4" t="s">
        <v>745</v>
      </c>
      <c r="C29" s="11" t="n">
        <f aca="false">INDEX('Unit Economics'!$C$114:$E$114,Asumsi!$D$5)</f>
        <v>0.5</v>
      </c>
    </row>
    <row r="30" customFormat="false" ht="15" hidden="false" customHeight="false" outlineLevel="0" collapsed="false">
      <c r="B30" s="4" t="s">
        <v>746</v>
      </c>
      <c r="C30" s="9" t="n">
        <f aca="false">INDEX('Unit Economics'!$C$35:$E$35,Asumsi!$D$5)</f>
        <v>16233.3</v>
      </c>
    </row>
    <row r="31" customFormat="false" ht="15" hidden="false" customHeight="false" outlineLevel="0" collapsed="false">
      <c r="B31" s="4" t="s">
        <v>747</v>
      </c>
      <c r="C31" s="9" t="n">
        <f aca="false">INDEX('Unit Economics'!$C$33:$E$33,Asumsi!$D$5)</f>
        <v>22833.65</v>
      </c>
    </row>
    <row r="32" customFormat="false" ht="15" hidden="false" customHeight="false" outlineLevel="0" collapsed="false">
      <c r="B32" s="4" t="s">
        <v>748</v>
      </c>
      <c r="C32" s="9" t="n">
        <f aca="false">INDEX('Unit Economics'!$C$18:$E$18,Asumsi!$D$5)</f>
        <v>2920133.65</v>
      </c>
    </row>
    <row r="33" customFormat="false" ht="15" hidden="false" customHeight="false" outlineLevel="0" collapsed="false">
      <c r="B33" s="4" t="s">
        <v>749</v>
      </c>
      <c r="C33" s="36" t="n">
        <f aca="false">IF(1-C29&gt;0,(C30-C29*(C27-C28))/(1-C29),0)</f>
        <v>22536.6</v>
      </c>
    </row>
    <row r="35" customFormat="false" ht="15" hidden="false" customHeight="false" outlineLevel="0" collapsed="false">
      <c r="B35" s="25" t="s">
        <v>750</v>
      </c>
    </row>
    <row r="36" customFormat="false" ht="15" hidden="false" customHeight="false" outlineLevel="0" collapsed="false">
      <c r="B36" s="59" t="s">
        <v>751</v>
      </c>
      <c r="C36" s="69" t="n">
        <v>0.3</v>
      </c>
      <c r="D36" s="69" t="n">
        <v>0.4</v>
      </c>
      <c r="E36" s="69" t="n">
        <v>0.5</v>
      </c>
      <c r="F36" s="69" t="n">
        <v>0.6</v>
      </c>
      <c r="G36" s="69" t="n">
        <v>0.7</v>
      </c>
    </row>
    <row r="37" customFormat="false" ht="15" hidden="false" customHeight="false" outlineLevel="0" collapsed="false">
      <c r="B37" s="70" t="n">
        <v>0</v>
      </c>
      <c r="C37" s="36" t="n">
        <f aca="false">$C$11+$C$30-(C$36*($C$27-$B37)+(1-C$36)*$C$33)</f>
        <v>73386.6878283793</v>
      </c>
      <c r="D37" s="36" t="n">
        <f aca="false">$C$11+$C$30-(D$36*($C$27-$B37)+(1-D$36)*$C$33)</f>
        <v>74197.3478283793</v>
      </c>
      <c r="E37" s="36" t="n">
        <f aca="false">$C$11+$C$30-(E$36*($C$27-$B37)+(1-E$36)*$C$33)</f>
        <v>75008.0078283793</v>
      </c>
      <c r="F37" s="36" t="n">
        <f aca="false">$C$11+$C$30-(F$36*($C$27-$B37)+(1-F$36)*$C$33)</f>
        <v>75818.6678283792</v>
      </c>
      <c r="G37" s="36" t="n">
        <f aca="false">$C$11+$C$30-(G$36*($C$27-$B37)+(1-G$36)*$C$33)</f>
        <v>76629.3278283793</v>
      </c>
    </row>
    <row r="38" customFormat="false" ht="15" hidden="false" customHeight="false" outlineLevel="0" collapsed="false">
      <c r="B38" s="70" t="n">
        <v>4500</v>
      </c>
      <c r="C38" s="36" t="n">
        <f aca="false">$C$11+$C$30-(C$36*($C$27-$B38)+(1-C$36)*$C$33)</f>
        <v>74736.6878283793</v>
      </c>
      <c r="D38" s="36" t="n">
        <f aca="false">$C$11+$C$30-(D$36*($C$27-$B38)+(1-D$36)*$C$33)</f>
        <v>75997.3478283793</v>
      </c>
      <c r="E38" s="36" t="n">
        <f aca="false">$C$11+$C$30-(E$36*($C$27-$B38)+(1-E$36)*$C$33)</f>
        <v>77258.0078283793</v>
      </c>
      <c r="F38" s="36" t="n">
        <f aca="false">$C$11+$C$30-(F$36*($C$27-$B38)+(1-F$36)*$C$33)</f>
        <v>78518.6678283792</v>
      </c>
      <c r="G38" s="36" t="n">
        <f aca="false">$C$11+$C$30-(G$36*($C$27-$B38)+(1-G$36)*$C$33)</f>
        <v>79779.3278283793</v>
      </c>
    </row>
    <row r="39" customFormat="false" ht="15" hidden="false" customHeight="false" outlineLevel="0" collapsed="false">
      <c r="B39" s="70" t="n">
        <v>7500</v>
      </c>
      <c r="C39" s="36" t="n">
        <f aca="false">$C$11+$C$30-(C$36*($C$27-$B39)+(1-C$36)*$C$33)</f>
        <v>75636.6878283793</v>
      </c>
      <c r="D39" s="36" t="n">
        <f aca="false">$C$11+$C$30-(D$36*($C$27-$B39)+(1-D$36)*$C$33)</f>
        <v>77197.3478283793</v>
      </c>
      <c r="E39" s="36" t="n">
        <f aca="false">$C$11+$C$30-(E$36*($C$27-$B39)+(1-E$36)*$C$33)</f>
        <v>78758.0078283793</v>
      </c>
      <c r="F39" s="36" t="n">
        <f aca="false">$C$11+$C$30-(F$36*($C$27-$B39)+(1-F$36)*$C$33)</f>
        <v>80318.6678283792</v>
      </c>
      <c r="G39" s="36" t="n">
        <f aca="false">$C$11+$C$30-(G$36*($C$27-$B39)+(1-G$36)*$C$33)</f>
        <v>81879.3278283793</v>
      </c>
    </row>
    <row r="40" customFormat="false" ht="15" hidden="false" customHeight="false" outlineLevel="0" collapsed="false">
      <c r="B40" s="70" t="n">
        <v>10000</v>
      </c>
      <c r="C40" s="36" t="n">
        <f aca="false">$C$11+$C$30-(C$36*($C$27-$B40)+(1-C$36)*$C$33)</f>
        <v>76386.6878283793</v>
      </c>
      <c r="D40" s="36" t="n">
        <f aca="false">$C$11+$C$30-(D$36*($C$27-$B40)+(1-D$36)*$C$33)</f>
        <v>78197.3478283793</v>
      </c>
      <c r="E40" s="36" t="n">
        <f aca="false">$C$11+$C$30-(E$36*($C$27-$B40)+(1-E$36)*$C$33)</f>
        <v>80008.0078283793</v>
      </c>
      <c r="F40" s="36" t="n">
        <f aca="false">$C$11+$C$30-(F$36*($C$27-$B40)+(1-F$36)*$C$33)</f>
        <v>81818.6678283792</v>
      </c>
      <c r="G40" s="36" t="n">
        <f aca="false">$C$11+$C$30-(G$36*($C$27-$B40)+(1-G$36)*$C$33)</f>
        <v>83629.3278283793</v>
      </c>
    </row>
    <row r="41" customFormat="false" ht="15" hidden="false" customHeight="false" outlineLevel="0" collapsed="false">
      <c r="B41" s="70" t="n">
        <v>14430</v>
      </c>
      <c r="C41" s="36" t="n">
        <f aca="false">$C$11+$C$30-(C$36*($C$27-$B41)+(1-C$36)*$C$33)</f>
        <v>77715.6878283793</v>
      </c>
      <c r="D41" s="36" t="n">
        <f aca="false">$C$11+$C$30-(D$36*($C$27-$B41)+(1-D$36)*$C$33)</f>
        <v>79969.3478283793</v>
      </c>
      <c r="E41" s="36" t="n">
        <f aca="false">$C$11+$C$30-(E$36*($C$27-$B41)+(1-E$36)*$C$33)</f>
        <v>82223.0078283793</v>
      </c>
      <c r="F41" s="36" t="n">
        <f aca="false">$C$11+$C$30-(F$36*($C$27-$B41)+(1-F$36)*$C$33)</f>
        <v>84476.6678283792</v>
      </c>
      <c r="G41" s="36" t="n">
        <f aca="false">$C$11+$C$30-(G$36*($C$27-$B41)+(1-G$36)*$C$33)</f>
        <v>86730.3278283793</v>
      </c>
    </row>
    <row r="43" customFormat="false" ht="15" hidden="false" customHeight="false" outlineLevel="0" collapsed="false">
      <c r="B43" s="25" t="s">
        <v>752</v>
      </c>
    </row>
    <row r="44" customFormat="false" ht="15" hidden="false" customHeight="false" outlineLevel="0" collapsed="false">
      <c r="B44" s="59" t="s">
        <v>751</v>
      </c>
      <c r="C44" s="71" t="n">
        <f aca="false">C36</f>
        <v>0.3</v>
      </c>
      <c r="D44" s="71" t="n">
        <f aca="false">D36</f>
        <v>0.4</v>
      </c>
      <c r="E44" s="71" t="n">
        <f aca="false">E36</f>
        <v>0.5</v>
      </c>
      <c r="F44" s="71" t="n">
        <f aca="false">F36</f>
        <v>0.6</v>
      </c>
      <c r="G44" s="71" t="n">
        <f aca="false">G36</f>
        <v>0.7</v>
      </c>
    </row>
    <row r="45" customFormat="false" ht="15" hidden="false" customHeight="false" outlineLevel="0" collapsed="false">
      <c r="B45" s="72" t="n">
        <f aca="false">B37</f>
        <v>0</v>
      </c>
      <c r="C45" s="36" t="n">
        <f aca="false">IF(C37&gt;0,ROUNDUP($C$8/C37,0),"CM ≤ 0")</f>
        <v>2234</v>
      </c>
      <c r="D45" s="36" t="n">
        <f aca="false">IF(D37&gt;0,ROUNDUP($C$8/D37,0),"CM ≤ 0")</f>
        <v>2209</v>
      </c>
      <c r="E45" s="36" t="n">
        <f aca="false">IF(E37&gt;0,ROUNDUP($C$8/E37,0),"CM ≤ 0")</f>
        <v>2185</v>
      </c>
      <c r="F45" s="36" t="n">
        <f aca="false">IF(F37&gt;0,ROUNDUP($C$8/F37,0),"CM ≤ 0")</f>
        <v>2162</v>
      </c>
      <c r="G45" s="36" t="n">
        <f aca="false">IF(G37&gt;0,ROUNDUP($C$8/G37,0),"CM ≤ 0")</f>
        <v>2139</v>
      </c>
    </row>
    <row r="46" customFormat="false" ht="15" hidden="false" customHeight="false" outlineLevel="0" collapsed="false">
      <c r="B46" s="72" t="n">
        <f aca="false">B38</f>
        <v>4500</v>
      </c>
      <c r="C46" s="36" t="n">
        <f aca="false">IF(C38&gt;0,ROUNDUP($C$8/C38,0),"CM ≤ 0")</f>
        <v>2193</v>
      </c>
      <c r="D46" s="36" t="n">
        <f aca="false">IF(D38&gt;0,ROUNDUP($C$8/D38,0),"CM ≤ 0")</f>
        <v>2157</v>
      </c>
      <c r="E46" s="36" t="n">
        <f aca="false">IF(E38&gt;0,ROUNDUP($C$8/E38,0),"CM ≤ 0")</f>
        <v>2122</v>
      </c>
      <c r="F46" s="36" t="n">
        <f aca="false">IF(F38&gt;0,ROUNDUP($C$8/F38,0),"CM ≤ 0")</f>
        <v>2088</v>
      </c>
      <c r="G46" s="36" t="n">
        <f aca="false">IF(G38&gt;0,ROUNDUP($C$8/G38,0),"CM ≤ 0")</f>
        <v>2055</v>
      </c>
    </row>
    <row r="47" customFormat="false" ht="15" hidden="false" customHeight="false" outlineLevel="0" collapsed="false">
      <c r="B47" s="72" t="n">
        <f aca="false">B39</f>
        <v>7500</v>
      </c>
      <c r="C47" s="36" t="n">
        <f aca="false">IF(C39&gt;0,ROUNDUP($C$8/C39,0),"CM ≤ 0")</f>
        <v>2167</v>
      </c>
      <c r="D47" s="36" t="n">
        <f aca="false">IF(D39&gt;0,ROUNDUP($C$8/D39,0),"CM ≤ 0")</f>
        <v>2123</v>
      </c>
      <c r="E47" s="36" t="n">
        <f aca="false">IF(E39&gt;0,ROUNDUP($C$8/E39,0),"CM ≤ 0")</f>
        <v>2081</v>
      </c>
      <c r="F47" s="36" t="n">
        <f aca="false">IF(F39&gt;0,ROUNDUP($C$8/F39,0),"CM ≤ 0")</f>
        <v>2041</v>
      </c>
      <c r="G47" s="36" t="n">
        <f aca="false">IF(G39&gt;0,ROUNDUP($C$8/G39,0),"CM ≤ 0")</f>
        <v>2002</v>
      </c>
    </row>
    <row r="48" customFormat="false" ht="15" hidden="false" customHeight="false" outlineLevel="0" collapsed="false">
      <c r="B48" s="72" t="n">
        <f aca="false">B40</f>
        <v>10000</v>
      </c>
      <c r="C48" s="36" t="n">
        <f aca="false">IF(C40&gt;0,ROUNDUP($C$8/C40,0),"CM ≤ 0")</f>
        <v>2146</v>
      </c>
      <c r="D48" s="36" t="n">
        <f aca="false">IF(D40&gt;0,ROUNDUP($C$8/D40,0),"CM ≤ 0")</f>
        <v>2096</v>
      </c>
      <c r="E48" s="36" t="n">
        <f aca="false">IF(E40&gt;0,ROUNDUP($C$8/E40,0),"CM ≤ 0")</f>
        <v>2049</v>
      </c>
      <c r="F48" s="36" t="n">
        <f aca="false">IF(F40&gt;0,ROUNDUP($C$8/F40,0),"CM ≤ 0")</f>
        <v>2004</v>
      </c>
      <c r="G48" s="36" t="n">
        <f aca="false">IF(G40&gt;0,ROUNDUP($C$8/G40,0),"CM ≤ 0")</f>
        <v>1960</v>
      </c>
    </row>
    <row r="49" customFormat="false" ht="15" hidden="false" customHeight="false" outlineLevel="0" collapsed="false">
      <c r="B49" s="72" t="n">
        <f aca="false">B41</f>
        <v>14430</v>
      </c>
      <c r="C49" s="36" t="n">
        <f aca="false">IF(C41&gt;0,ROUNDUP($C$8/C41,0),"CM ≤ 0")</f>
        <v>2109</v>
      </c>
      <c r="D49" s="36" t="n">
        <f aca="false">IF(D41&gt;0,ROUNDUP($C$8/D41,0),"CM ≤ 0")</f>
        <v>2050</v>
      </c>
      <c r="E49" s="36" t="n">
        <f aca="false">IF(E41&gt;0,ROUNDUP($C$8/E41,0),"CM ≤ 0")</f>
        <v>1994</v>
      </c>
      <c r="F49" s="36" t="n">
        <f aca="false">IF(F41&gt;0,ROUNDUP($C$8/F41,0),"CM ≤ 0")</f>
        <v>1941</v>
      </c>
      <c r="G49" s="36" t="n">
        <f aca="false">IF(G41&gt;0,ROUNDUP($C$8/G41,0),"CM ≤ 0")</f>
        <v>1890</v>
      </c>
    </row>
    <row r="50" customFormat="false" ht="15" hidden="false" customHeight="false" outlineLevel="0" collapsed="false">
      <c r="B50" s="2" t="s">
        <v>753</v>
      </c>
    </row>
    <row r="52" customFormat="false" ht="15" hidden="false" customHeight="false" outlineLevel="0" collapsed="false">
      <c r="B52" s="25" t="s">
        <v>754</v>
      </c>
    </row>
    <row r="53" customFormat="false" ht="42" hidden="false" customHeight="true" outlineLevel="0" collapsed="false">
      <c r="B53" s="6" t="s">
        <v>755</v>
      </c>
      <c r="C53" s="6" t="s">
        <v>756</v>
      </c>
      <c r="D53" s="6" t="s">
        <v>757</v>
      </c>
      <c r="E53" s="6" t="s">
        <v>758</v>
      </c>
      <c r="F53" s="6" t="s">
        <v>759</v>
      </c>
    </row>
    <row r="54" customFormat="false" ht="15" hidden="false" customHeight="false" outlineLevel="0" collapsed="false">
      <c r="B54" s="4" t="s">
        <v>760</v>
      </c>
      <c r="C54" s="36" t="n">
        <f aca="false">$C$30</f>
        <v>16233.3</v>
      </c>
      <c r="D54" s="36" t="n">
        <f aca="false">$C$11</f>
        <v>77258.0078283793</v>
      </c>
      <c r="E54" s="36" t="n">
        <f aca="false">IF(D54&gt;0,ROUNDUP($C$8/D54,0),"CM ≤ 0")</f>
        <v>2122</v>
      </c>
      <c r="F54" s="36" t="n">
        <f aca="false">$C$32</f>
        <v>2920133.65</v>
      </c>
    </row>
    <row r="55" customFormat="false" ht="15" hidden="false" customHeight="false" outlineLevel="0" collapsed="false">
      <c r="B55" s="4" t="s">
        <v>761</v>
      </c>
      <c r="C55" s="36" t="n">
        <f aca="false">$C$30-$C$29*($C$27-$C$28)</f>
        <v>11268.3</v>
      </c>
      <c r="D55" s="36" t="n">
        <f aca="false">$C$11+$C$29*($C$27-$C$28)</f>
        <v>82223.0078283793</v>
      </c>
      <c r="E55" s="36" t="n">
        <f aca="false">IF(D55&gt;0,ROUNDUP($C$8/D55,0),"CM ≤ 0")</f>
        <v>1994</v>
      </c>
      <c r="F55" s="36" t="n">
        <f aca="false">$C$32+$C$29*($C$27-$C$28)</f>
        <v>2925098.65</v>
      </c>
    </row>
    <row r="56" customFormat="false" ht="15" hidden="false" customHeight="false" outlineLevel="0" collapsed="false">
      <c r="B56" s="4" t="s">
        <v>762</v>
      </c>
      <c r="C56" s="36" t="n">
        <f aca="false">0</f>
        <v>0</v>
      </c>
      <c r="D56" s="36" t="n">
        <f aca="false">$C$11+$C$30</f>
        <v>93491.3078283792</v>
      </c>
      <c r="E56" s="36" t="n">
        <f aca="false">IF(D56&gt;0,ROUNDUP($C$8/D56,0),"CM ≤ 0")</f>
        <v>1753</v>
      </c>
      <c r="F56" s="36" t="n">
        <f aca="false">$C$32+$C$30</f>
        <v>2936366.95</v>
      </c>
    </row>
    <row r="57" customFormat="false" ht="15" hidden="false" customHeight="false" outlineLevel="0" collapsed="false">
      <c r="B57" s="4" t="s">
        <v>763</v>
      </c>
      <c r="C57" s="36" t="n">
        <f aca="false">$C$30+$C$31</f>
        <v>39066.95</v>
      </c>
      <c r="D57" s="36" t="n">
        <f aca="false">$C$11-$C$31</f>
        <v>54424.3578283793</v>
      </c>
      <c r="E57" s="36" t="n">
        <f aca="false">IF(D57&gt;0,ROUNDUP($C$8/D57,0),"CM ≤ 0")</f>
        <v>3012</v>
      </c>
      <c r="F57" s="36" t="n">
        <f aca="false">$C$32-$C$31</f>
        <v>2897300</v>
      </c>
    </row>
    <row r="58" customFormat="false" ht="15" hidden="false" customHeight="false" outlineLevel="0" collapsed="false">
      <c r="B58" s="2" t="s">
        <v>764</v>
      </c>
    </row>
    <row r="60" customFormat="false" ht="15" hidden="false" customHeight="false" outlineLevel="0" collapsed="false">
      <c r="A60" s="7" t="s">
        <v>765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Format="false" ht="15" hidden="false" customHeight="false" outlineLevel="0" collapsed="false">
      <c r="A61" s="6"/>
      <c r="B61" s="6" t="s">
        <v>766</v>
      </c>
      <c r="C61" s="6" t="s">
        <v>767</v>
      </c>
      <c r="D61" s="6" t="s">
        <v>768</v>
      </c>
      <c r="E61" s="6" t="s">
        <v>769</v>
      </c>
      <c r="F61" s="6" t="s">
        <v>770</v>
      </c>
      <c r="G61" s="6" t="s">
        <v>771</v>
      </c>
      <c r="H61" s="6" t="s">
        <v>772</v>
      </c>
      <c r="I61" s="6" t="s">
        <v>773</v>
      </c>
      <c r="J61" s="6" t="s">
        <v>774</v>
      </c>
      <c r="K61" s="6" t="s">
        <v>775</v>
      </c>
      <c r="L61" s="6" t="s">
        <v>776</v>
      </c>
    </row>
    <row r="62" customFormat="false" ht="15" hidden="false" customHeight="false" outlineLevel="0" collapsed="false">
      <c r="B62" s="4" t="s">
        <v>777</v>
      </c>
      <c r="C62" s="36" t="n">
        <f aca="false">C80</f>
        <v>500000</v>
      </c>
      <c r="D62" s="36" t="n">
        <f aca="false">D80</f>
        <v>1000000</v>
      </c>
      <c r="E62" s="36" t="n">
        <f aca="false">E80</f>
        <v>1500000</v>
      </c>
      <c r="F62" s="36" t="n">
        <f aca="false">F80</f>
        <v>2000000</v>
      </c>
      <c r="G62" s="36" t="n">
        <f aca="false">G80</f>
        <v>2500000</v>
      </c>
      <c r="H62" s="36" t="n">
        <f aca="false">H80</f>
        <v>3000000</v>
      </c>
      <c r="I62" s="36" t="n">
        <f aca="false">I80</f>
        <v>4000000</v>
      </c>
      <c r="J62" s="36" t="n">
        <f aca="false">J80</f>
        <v>5000000</v>
      </c>
      <c r="K62" s="36" t="n">
        <f aca="false">K80</f>
        <v>7500000</v>
      </c>
      <c r="L62" s="36" t="n">
        <f aca="false">L80</f>
        <v>10000000</v>
      </c>
    </row>
    <row r="63" customFormat="false" ht="15" hidden="false" customHeight="false" outlineLevel="0" collapsed="false">
      <c r="B63" s="4" t="s">
        <v>778</v>
      </c>
      <c r="C63" s="36" t="n">
        <f aca="false">C92</f>
        <v>732630.8</v>
      </c>
      <c r="D63" s="36" t="n">
        <f aca="false">D92</f>
        <v>1461798.45</v>
      </c>
      <c r="E63" s="36" t="n">
        <f aca="false">E92</f>
        <v>2190965.85</v>
      </c>
      <c r="F63" s="36" t="n">
        <f aca="false">F92</f>
        <v>2920133.65</v>
      </c>
      <c r="G63" s="36" t="n">
        <f aca="false">G92</f>
        <v>3649301.15</v>
      </c>
      <c r="H63" s="36" t="n">
        <f aca="false">H92</f>
        <v>4378468.7</v>
      </c>
      <c r="I63" s="36" t="n">
        <f aca="false">I92</f>
        <v>5836804</v>
      </c>
      <c r="J63" s="36" t="n">
        <f aca="false">J92</f>
        <v>7295138.95</v>
      </c>
      <c r="K63" s="36" t="n">
        <f aca="false">K92</f>
        <v>10940976.85</v>
      </c>
      <c r="L63" s="36" t="n">
        <f aca="false">L92</f>
        <v>14586814.75</v>
      </c>
    </row>
    <row r="64" customFormat="false" ht="15" hidden="false" customHeight="false" outlineLevel="0" collapsed="false">
      <c r="B64" s="4" t="s">
        <v>50</v>
      </c>
      <c r="C64" s="36" t="n">
        <f aca="false">C121</f>
        <v>32500</v>
      </c>
      <c r="D64" s="36" t="n">
        <f aca="false">D121</f>
        <v>65000</v>
      </c>
      <c r="E64" s="36" t="n">
        <f aca="false">E121</f>
        <v>97500</v>
      </c>
      <c r="F64" s="36" t="n">
        <f aca="false">F121</f>
        <v>130000</v>
      </c>
      <c r="G64" s="36" t="n">
        <f aca="false">G121</f>
        <v>162500</v>
      </c>
      <c r="H64" s="36" t="n">
        <f aca="false">H121</f>
        <v>195000</v>
      </c>
      <c r="I64" s="36" t="n">
        <f aca="false">I121</f>
        <v>260000</v>
      </c>
      <c r="J64" s="36" t="n">
        <f aca="false">J121</f>
        <v>325000</v>
      </c>
      <c r="K64" s="36" t="n">
        <f aca="false">K121</f>
        <v>487500</v>
      </c>
      <c r="L64" s="36" t="n">
        <f aca="false">L121</f>
        <v>650000</v>
      </c>
    </row>
    <row r="65" customFormat="false" ht="15" hidden="false" customHeight="false" outlineLevel="0" collapsed="false">
      <c r="B65" s="4" t="s">
        <v>696</v>
      </c>
      <c r="C65" s="38" t="n">
        <f aca="false">C134</f>
        <v>0.0443606793489982</v>
      </c>
      <c r="D65" s="38" t="n">
        <f aca="false">D134</f>
        <v>0.0444657743343482</v>
      </c>
      <c r="E65" s="38" t="n">
        <f aca="false">E134</f>
        <v>0.0445009218194798</v>
      </c>
      <c r="F65" s="38" t="n">
        <f aca="false">F134</f>
        <v>0.044518510308595</v>
      </c>
      <c r="G65" s="38" t="n">
        <f aca="false">G134</f>
        <v>0.044529073737858</v>
      </c>
      <c r="H65" s="38" t="n">
        <f aca="false">H134</f>
        <v>0.0445361183009028</v>
      </c>
      <c r="I65" s="38" t="n">
        <f aca="false">I134</f>
        <v>0.0445449256134008</v>
      </c>
      <c r="J65" s="38" t="n">
        <f aca="false">J134</f>
        <v>0.0445502138105265</v>
      </c>
      <c r="K65" s="38" t="n">
        <f aca="false">K134</f>
        <v>0.0445572645554039</v>
      </c>
      <c r="L65" s="38" t="n">
        <f aca="false">L134</f>
        <v>0.0445607907648241</v>
      </c>
    </row>
    <row r="66" customFormat="false" ht="15" hidden="false" customHeight="false" outlineLevel="0" collapsed="false">
      <c r="B66" s="4" t="s">
        <v>52</v>
      </c>
      <c r="C66" s="36" t="n">
        <f aca="false">C109</f>
        <v>9466.3</v>
      </c>
      <c r="D66" s="36" t="n">
        <f aca="false">D109</f>
        <v>11722.15</v>
      </c>
      <c r="E66" s="36" t="n">
        <f aca="false">E109</f>
        <v>13977.85</v>
      </c>
      <c r="F66" s="36" t="n">
        <f aca="false">F109</f>
        <v>16233.3</v>
      </c>
      <c r="G66" s="36" t="n">
        <f aca="false">G109</f>
        <v>18489.05</v>
      </c>
      <c r="H66" s="36" t="n">
        <f aca="false">H109</f>
        <v>20745</v>
      </c>
      <c r="I66" s="36" t="n">
        <f aca="false">I109</f>
        <v>25256.2</v>
      </c>
      <c r="J66" s="36" t="n">
        <f aca="false">J109</f>
        <v>29768</v>
      </c>
      <c r="K66" s="36" t="n">
        <f aca="false">K109</f>
        <v>41046.55</v>
      </c>
      <c r="L66" s="36" t="n">
        <f aca="false">L109</f>
        <v>52325</v>
      </c>
    </row>
    <row r="67" customFormat="false" ht="15" hidden="false" customHeight="false" outlineLevel="0" collapsed="false">
      <c r="B67" s="4" t="s">
        <v>701</v>
      </c>
      <c r="C67" s="36" t="n">
        <f aca="false">-C126</f>
        <v>4995</v>
      </c>
      <c r="D67" s="36" t="n">
        <f aca="false">-D126</f>
        <v>4995</v>
      </c>
      <c r="E67" s="36" t="n">
        <f aca="false">-E126</f>
        <v>4995</v>
      </c>
      <c r="F67" s="36" t="n">
        <f aca="false">-F126</f>
        <v>4995</v>
      </c>
      <c r="G67" s="36" t="n">
        <f aca="false">-G126</f>
        <v>4995</v>
      </c>
      <c r="H67" s="36" t="n">
        <f aca="false">-H126</f>
        <v>4995</v>
      </c>
      <c r="I67" s="36" t="n">
        <f aca="false">-I126</f>
        <v>4995</v>
      </c>
      <c r="J67" s="36" t="n">
        <f aca="false">-J126</f>
        <v>4995</v>
      </c>
      <c r="K67" s="36" t="n">
        <f aca="false">-K126</f>
        <v>4995</v>
      </c>
      <c r="L67" s="36" t="n">
        <f aca="false">-L126</f>
        <v>4995</v>
      </c>
    </row>
    <row r="68" customFormat="false" ht="15" hidden="false" customHeight="false" outlineLevel="0" collapsed="false">
      <c r="B68" s="4" t="s">
        <v>779</v>
      </c>
      <c r="C68" s="36" t="n">
        <f aca="false">-C127</f>
        <v>3000</v>
      </c>
      <c r="D68" s="36" t="n">
        <f aca="false">-D127</f>
        <v>6000</v>
      </c>
      <c r="E68" s="36" t="n">
        <f aca="false">-E127</f>
        <v>9000</v>
      </c>
      <c r="F68" s="36" t="n">
        <f aca="false">-F127</f>
        <v>12000</v>
      </c>
      <c r="G68" s="36" t="n">
        <f aca="false">-G127</f>
        <v>15000</v>
      </c>
      <c r="H68" s="36" t="n">
        <f aca="false">-H127</f>
        <v>18000</v>
      </c>
      <c r="I68" s="36" t="n">
        <f aca="false">-I127</f>
        <v>24000</v>
      </c>
      <c r="J68" s="36" t="n">
        <f aca="false">-J127</f>
        <v>30000</v>
      </c>
      <c r="K68" s="36" t="n">
        <f aca="false">-K127</f>
        <v>45000</v>
      </c>
      <c r="L68" s="36" t="n">
        <f aca="false">-L127</f>
        <v>60000</v>
      </c>
    </row>
    <row r="69" customFormat="false" ht="15" hidden="false" customHeight="false" outlineLevel="0" collapsed="false">
      <c r="B69" s="25" t="s">
        <v>54</v>
      </c>
      <c r="C69" s="36" t="n">
        <f aca="false">C131</f>
        <v>-313.992171620754</v>
      </c>
      <c r="D69" s="36" t="n">
        <f aca="false">D131</f>
        <v>25543.1578283793</v>
      </c>
      <c r="E69" s="36" t="n">
        <f aca="false">E131</f>
        <v>51400.4578283792</v>
      </c>
      <c r="F69" s="36" t="n">
        <f aca="false">F131</f>
        <v>77258.0078283793</v>
      </c>
      <c r="G69" s="36" t="n">
        <f aca="false">G131</f>
        <v>103116.257828379</v>
      </c>
      <c r="H69" s="36" t="n">
        <f aca="false">H131</f>
        <v>128973.307828379</v>
      </c>
      <c r="I69" s="36" t="n">
        <f aca="false">I131</f>
        <v>180688.107828379</v>
      </c>
      <c r="J69" s="36" t="n">
        <f aca="false">J131</f>
        <v>232403.307828379</v>
      </c>
      <c r="K69" s="36" t="n">
        <f aca="false">K131</f>
        <v>361690.757828379</v>
      </c>
      <c r="L69" s="36" t="n">
        <f aca="false">L131</f>
        <v>490978.307828379</v>
      </c>
    </row>
    <row r="70" customFormat="false" ht="15" hidden="false" customHeight="false" outlineLevel="0" collapsed="false">
      <c r="B70" s="25" t="s">
        <v>780</v>
      </c>
      <c r="C70" s="36" t="str">
        <f aca="false">IF(C131&gt;0,ROUNDUP($C$8/C131,0),"CM ≤ 0")</f>
        <v>CM ≤ 0</v>
      </c>
      <c r="D70" s="36" t="n">
        <f aca="false">IF(D131&gt;0,ROUNDUP($C$8/D131,0),"CM ≤ 0")</f>
        <v>6417</v>
      </c>
      <c r="E70" s="36" t="n">
        <f aca="false">IF(E131&gt;0,ROUNDUP($C$8/E131,0),"CM ≤ 0")</f>
        <v>3189</v>
      </c>
      <c r="F70" s="36" t="n">
        <f aca="false">IF(F131&gt;0,ROUNDUP($C$8/F131,0),"CM ≤ 0")</f>
        <v>2122</v>
      </c>
      <c r="G70" s="36" t="n">
        <f aca="false">IF(G131&gt;0,ROUNDUP($C$8/G131,0),"CM ≤ 0")</f>
        <v>1590</v>
      </c>
      <c r="H70" s="36" t="n">
        <f aca="false">IF(H131&gt;0,ROUNDUP($C$8/H131,0),"CM ≤ 0")</f>
        <v>1271</v>
      </c>
      <c r="I70" s="36" t="n">
        <f aca="false">IF(I131&gt;0,ROUNDUP($C$8/I131,0),"CM ≤ 0")</f>
        <v>908</v>
      </c>
      <c r="J70" s="36" t="n">
        <f aca="false">IF(J131&gt;0,ROUNDUP($C$8/J131,0),"CM ≤ 0")</f>
        <v>706</v>
      </c>
      <c r="K70" s="36" t="n">
        <f aca="false">IF(K131&gt;0,ROUNDUP($C$8/K131,0),"CM ≤ 0")</f>
        <v>454</v>
      </c>
      <c r="L70" s="36" t="n">
        <f aca="false">IF(L131&gt;0,ROUNDUP($C$8/L131,0),"CM ≤ 0")</f>
        <v>334</v>
      </c>
    </row>
    <row r="71" customFormat="false" ht="15" hidden="false" customHeight="false" outlineLevel="0" collapsed="false">
      <c r="B71" s="4" t="s">
        <v>781</v>
      </c>
      <c r="C71" s="49" t="n">
        <f aca="false">IF(ISNUMBER(C70),C70*C92/1000000,0)</f>
        <v>0</v>
      </c>
      <c r="D71" s="49" t="n">
        <f aca="false">IF(ISNUMBER(D70),D70*D92/1000000,0)</f>
        <v>9380.36065365</v>
      </c>
      <c r="E71" s="49" t="n">
        <f aca="false">IF(ISNUMBER(E70),E70*E92/1000000,0)</f>
        <v>6986.99009565</v>
      </c>
      <c r="F71" s="49" t="n">
        <f aca="false">IF(ISNUMBER(F70),F70*F92/1000000,0)</f>
        <v>6196.5236053</v>
      </c>
      <c r="G71" s="49" t="n">
        <f aca="false">IF(ISNUMBER(G70),G70*G92/1000000,0)</f>
        <v>5802.3888285</v>
      </c>
      <c r="H71" s="49" t="n">
        <f aca="false">IF(ISNUMBER(H70),H70*H92/1000000,0)</f>
        <v>5565.0337177</v>
      </c>
      <c r="I71" s="49" t="n">
        <f aca="false">IF(ISNUMBER(I70),I70*I92/1000000,0)</f>
        <v>5299.818032</v>
      </c>
      <c r="J71" s="49" t="n">
        <f aca="false">IF(ISNUMBER(J70),J70*J92/1000000,0)</f>
        <v>5150.3680987</v>
      </c>
      <c r="K71" s="49" t="n">
        <f aca="false">IF(ISNUMBER(K70),K70*K92/1000000,0)</f>
        <v>4967.2034899</v>
      </c>
      <c r="L71" s="49" t="n">
        <f aca="false">IF(ISNUMBER(L70),L70*L92/1000000,0)</f>
        <v>4871.9961265</v>
      </c>
    </row>
    <row r="72" customFormat="false" ht="23.85" hidden="false" customHeight="false" outlineLevel="0" collapsed="false">
      <c r="B72" s="4" t="s">
        <v>782</v>
      </c>
      <c r="C72" s="34" t="str">
        <f aca="false">C150</f>
        <v>OK</v>
      </c>
      <c r="D72" s="34" t="str">
        <f aca="false">D150</f>
        <v>OK</v>
      </c>
      <c r="E72" s="34" t="str">
        <f aca="false">E150</f>
        <v>OK</v>
      </c>
      <c r="F72" s="34" t="str">
        <f aca="false">F150</f>
        <v>OK</v>
      </c>
      <c r="G72" s="34" t="str">
        <f aca="false">G150</f>
        <v>OK</v>
      </c>
      <c r="H72" s="34" t="str">
        <f aca="false">H150</f>
        <v>OK</v>
      </c>
      <c r="I72" s="34" t="str">
        <f aca="false">I150</f>
        <v>OK</v>
      </c>
      <c r="J72" s="34" t="str">
        <f aca="false">J150</f>
        <v>OK</v>
      </c>
      <c r="K72" s="34" t="str">
        <f aca="false">K150</f>
        <v>QRIS tidak tersedia</v>
      </c>
      <c r="L72" s="34" t="str">
        <f aca="false">L150</f>
        <v>QRIS tidak tersedia</v>
      </c>
    </row>
    <row r="73" customFormat="false" ht="35.05" hidden="false" customHeight="false" outlineLevel="0" collapsed="false">
      <c r="B73" s="4" t="s">
        <v>585</v>
      </c>
      <c r="C73" s="34" t="str">
        <f aca="false">C149</f>
        <v>OK</v>
      </c>
      <c r="D73" s="34" t="str">
        <f aca="false">D149</f>
        <v>OK</v>
      </c>
      <c r="E73" s="34" t="str">
        <f aca="false">E149</f>
        <v>OK</v>
      </c>
      <c r="F73" s="34" t="str">
        <f aca="false">F149</f>
        <v>OK</v>
      </c>
      <c r="G73" s="34" t="str">
        <f aca="false">G149</f>
        <v>OK</v>
      </c>
      <c r="H73" s="34" t="str">
        <f aca="false">H149</f>
        <v>OK</v>
      </c>
      <c r="I73" s="34" t="str">
        <f aca="false">I149</f>
        <v>Butuh traveler ≥ 3 transaksi selesai</v>
      </c>
      <c r="J73" s="34" t="str">
        <f aca="false">J149</f>
        <v>Butuh traveler ≥ 3 transaksi selesai</v>
      </c>
      <c r="K73" s="34" t="str">
        <f aca="false">K149</f>
        <v>Butuh traveler ≥ 3 transaksi selesai</v>
      </c>
      <c r="L73" s="34" t="str">
        <f aca="false">L149</f>
        <v>Butuh traveler ≥ 3 transaksi selesai</v>
      </c>
    </row>
    <row r="74" customFormat="false" ht="15" hidden="false" customHeight="false" outlineLevel="0" collapsed="false">
      <c r="B74" s="4" t="s">
        <v>783</v>
      </c>
      <c r="C74" s="34" t="str">
        <f aca="false">C151</f>
        <v>Level 2</v>
      </c>
      <c r="D74" s="34" t="str">
        <f aca="false">D151</f>
        <v>Level 2</v>
      </c>
      <c r="E74" s="34" t="str">
        <f aca="false">E151</f>
        <v>Level 2</v>
      </c>
      <c r="F74" s="34" t="str">
        <f aca="false">F151</f>
        <v>Level 2</v>
      </c>
      <c r="G74" s="34" t="str">
        <f aca="false">G151</f>
        <v>Level 3</v>
      </c>
      <c r="H74" s="34" t="str">
        <f aca="false">H151</f>
        <v>Level 3</v>
      </c>
      <c r="I74" s="34" t="str">
        <f aca="false">I151</f>
        <v>Level 3</v>
      </c>
      <c r="J74" s="34" t="str">
        <f aca="false">J151</f>
        <v>Level 3</v>
      </c>
      <c r="K74" s="34" t="str">
        <f aca="false">K151</f>
        <v>Level 3</v>
      </c>
      <c r="L74" s="34" t="str">
        <f aca="false">L151</f>
        <v>Level 3</v>
      </c>
    </row>
    <row r="75" customFormat="false" ht="15" hidden="false" customHeight="false" outlineLevel="0" collapsed="false">
      <c r="A75" s="2" t="s">
        <v>784</v>
      </c>
    </row>
    <row r="77" customFormat="false" ht="15" hidden="false" customHeight="false" outlineLevel="0" collapsed="false">
      <c r="A77" s="73" t="s">
        <v>785</v>
      </c>
    </row>
    <row r="78" customFormat="false" ht="15" hidden="false" customHeight="false" outlineLevel="0" collapsed="false">
      <c r="A78" s="6"/>
      <c r="B78" s="6" t="s">
        <v>475</v>
      </c>
      <c r="C78" s="6" t="s">
        <v>767</v>
      </c>
      <c r="D78" s="6" t="s">
        <v>768</v>
      </c>
      <c r="E78" s="6" t="s">
        <v>769</v>
      </c>
      <c r="F78" s="6" t="s">
        <v>770</v>
      </c>
      <c r="G78" s="6" t="s">
        <v>771</v>
      </c>
      <c r="H78" s="6" t="s">
        <v>772</v>
      </c>
      <c r="I78" s="6" t="s">
        <v>773</v>
      </c>
      <c r="J78" s="6" t="s">
        <v>774</v>
      </c>
      <c r="K78" s="6" t="s">
        <v>775</v>
      </c>
      <c r="L78" s="6" t="s">
        <v>776</v>
      </c>
    </row>
    <row r="79" customFormat="false" ht="15" hidden="false" customHeight="false" outlineLevel="0" collapsed="false">
      <c r="B79" s="4" t="s">
        <v>786</v>
      </c>
      <c r="C79" s="19" t="n">
        <f aca="false">Asumsi!$D$5</f>
        <v>2</v>
      </c>
      <c r="D79" s="19" t="n">
        <f aca="false">Asumsi!$D$5</f>
        <v>2</v>
      </c>
      <c r="E79" s="19" t="n">
        <f aca="false">Asumsi!$D$5</f>
        <v>2</v>
      </c>
      <c r="F79" s="19" t="n">
        <f aca="false">Asumsi!$D$5</f>
        <v>2</v>
      </c>
      <c r="G79" s="19" t="n">
        <f aca="false">Asumsi!$D$5</f>
        <v>2</v>
      </c>
      <c r="H79" s="19" t="n">
        <f aca="false">Asumsi!$D$5</f>
        <v>2</v>
      </c>
      <c r="I79" s="19" t="n">
        <f aca="false">Asumsi!$D$5</f>
        <v>2</v>
      </c>
      <c r="J79" s="19" t="n">
        <f aca="false">Asumsi!$D$5</f>
        <v>2</v>
      </c>
      <c r="K79" s="19" t="n">
        <f aca="false">Asumsi!$D$5</f>
        <v>2</v>
      </c>
      <c r="L79" s="19" t="n">
        <f aca="false">Asumsi!$D$5</f>
        <v>2</v>
      </c>
    </row>
    <row r="80" customFormat="false" ht="15" hidden="false" customHeight="false" outlineLevel="0" collapsed="false">
      <c r="B80" s="25" t="s">
        <v>485</v>
      </c>
      <c r="C80" s="45" t="n">
        <v>500000</v>
      </c>
      <c r="D80" s="45" t="n">
        <v>1000000</v>
      </c>
      <c r="E80" s="45" t="n">
        <v>1500000</v>
      </c>
      <c r="F80" s="45" t="n">
        <v>2000000</v>
      </c>
      <c r="G80" s="45" t="n">
        <v>2500000</v>
      </c>
      <c r="H80" s="45" t="n">
        <v>3000000</v>
      </c>
      <c r="I80" s="45" t="n">
        <v>4000000</v>
      </c>
      <c r="J80" s="45" t="n">
        <v>5000000</v>
      </c>
      <c r="K80" s="45" t="n">
        <v>7500000</v>
      </c>
      <c r="L80" s="45" t="n">
        <v>10000000</v>
      </c>
    </row>
    <row r="81" customFormat="false" ht="15" hidden="false" customHeight="false" outlineLevel="0" collapsed="false">
      <c r="A81" s="7" t="s">
        <v>486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customFormat="false" ht="15" hidden="false" customHeight="false" outlineLevel="0" collapsed="false">
      <c r="B82" s="4" t="s">
        <v>487</v>
      </c>
      <c r="C82" s="36" t="n">
        <f aca="false">C80</f>
        <v>500000</v>
      </c>
      <c r="D82" s="36" t="n">
        <f aca="false">D80</f>
        <v>1000000</v>
      </c>
      <c r="E82" s="36" t="n">
        <f aca="false">E80</f>
        <v>1500000</v>
      </c>
      <c r="F82" s="36" t="n">
        <f aca="false">F80</f>
        <v>2000000</v>
      </c>
      <c r="G82" s="36" t="n">
        <f aca="false">G80</f>
        <v>2500000</v>
      </c>
      <c r="H82" s="36" t="n">
        <f aca="false">H80</f>
        <v>3000000</v>
      </c>
      <c r="I82" s="36" t="n">
        <f aca="false">I80</f>
        <v>4000000</v>
      </c>
      <c r="J82" s="36" t="n">
        <f aca="false">J80</f>
        <v>5000000</v>
      </c>
      <c r="K82" s="36" t="n">
        <f aca="false">K80</f>
        <v>7500000</v>
      </c>
      <c r="L82" s="36" t="n">
        <f aca="false">L80</f>
        <v>10000000</v>
      </c>
    </row>
    <row r="83" customFormat="false" ht="15" hidden="false" customHeight="false" outlineLevel="0" collapsed="false">
      <c r="B83" s="4" t="s">
        <v>490</v>
      </c>
      <c r="C83" s="36" t="n">
        <f aca="false">MAX(C155,MIN(ROUND(C82*C154,0),ROUNDDOWN(C82*C156,0)))</f>
        <v>50000</v>
      </c>
      <c r="D83" s="36" t="n">
        <f aca="false">MAX(D155,MIN(ROUND(D82*D154,0),ROUNDDOWN(D82*D156,0)))</f>
        <v>100000</v>
      </c>
      <c r="E83" s="36" t="n">
        <f aca="false">MAX(E155,MIN(ROUND(E82*E154,0),ROUNDDOWN(E82*E156,0)))</f>
        <v>150000</v>
      </c>
      <c r="F83" s="36" t="n">
        <f aca="false">MAX(F155,MIN(ROUND(F82*F154,0),ROUNDDOWN(F82*F156,0)))</f>
        <v>200000</v>
      </c>
      <c r="G83" s="36" t="n">
        <f aca="false">MAX(G155,MIN(ROUND(G82*G154,0),ROUNDDOWN(G82*G156,0)))</f>
        <v>250000</v>
      </c>
      <c r="H83" s="36" t="n">
        <f aca="false">MAX(H155,MIN(ROUND(H82*H154,0),ROUNDDOWN(H82*H156,0)))</f>
        <v>300000</v>
      </c>
      <c r="I83" s="36" t="n">
        <f aca="false">MAX(I155,MIN(ROUND(I82*I154,0),ROUNDDOWN(I82*I156,0)))</f>
        <v>400000</v>
      </c>
      <c r="J83" s="36" t="n">
        <f aca="false">MAX(J155,MIN(ROUND(J82*J154,0),ROUNDDOWN(J82*J156,0)))</f>
        <v>500000</v>
      </c>
      <c r="K83" s="36" t="n">
        <f aca="false">MAX(K155,MIN(ROUND(K82*K154,0),ROUNDDOWN(K82*K156,0)))</f>
        <v>750000</v>
      </c>
      <c r="L83" s="36" t="n">
        <f aca="false">MAX(L155,MIN(ROUND(L82*L154,0),ROUNDDOWN(L82*L156,0)))</f>
        <v>1000000</v>
      </c>
    </row>
    <row r="84" customFormat="false" ht="15" hidden="false" customHeight="false" outlineLevel="0" collapsed="false">
      <c r="B84" s="4" t="s">
        <v>493</v>
      </c>
      <c r="C84" s="36" t="n">
        <f aca="false">CEILING(C82*C157,1000)</f>
        <v>50000</v>
      </c>
      <c r="D84" s="36" t="n">
        <f aca="false">CEILING(D82*D157,1000)</f>
        <v>100000</v>
      </c>
      <c r="E84" s="36" t="n">
        <f aca="false">CEILING(E82*E157,1000)</f>
        <v>150000</v>
      </c>
      <c r="F84" s="36" t="n">
        <f aca="false">CEILING(F82*F157,1000)</f>
        <v>200000</v>
      </c>
      <c r="G84" s="36" t="n">
        <f aca="false">CEILING(G82*G157,1000)</f>
        <v>250000</v>
      </c>
      <c r="H84" s="36" t="n">
        <f aca="false">CEILING(H82*H157,1000)</f>
        <v>300000</v>
      </c>
      <c r="I84" s="36" t="n">
        <f aca="false">CEILING(I82*I157,1000)</f>
        <v>400000</v>
      </c>
      <c r="J84" s="36" t="n">
        <f aca="false">CEILING(J82*J157,1000)</f>
        <v>500000</v>
      </c>
      <c r="K84" s="36" t="n">
        <f aca="false">CEILING(K82*K157,1000)</f>
        <v>750000</v>
      </c>
      <c r="L84" s="36" t="n">
        <f aca="false">CEILING(L82*L157,1000)</f>
        <v>1000000</v>
      </c>
    </row>
    <row r="85" customFormat="false" ht="15" hidden="false" customHeight="false" outlineLevel="0" collapsed="false">
      <c r="B85" s="4" t="s">
        <v>496</v>
      </c>
      <c r="C85" s="36" t="n">
        <f aca="false">CEILING((C82+C84)*C158*C159,1000)+CEILING((C82+C84)*C160,1000)</f>
        <v>89000</v>
      </c>
      <c r="D85" s="36" t="n">
        <f aca="false">CEILING((D82+D84)*D158*D159,1000)+CEILING((D82+D84)*D160,1000)</f>
        <v>177000</v>
      </c>
      <c r="E85" s="36" t="n">
        <f aca="false">CEILING((E82+E84)*E158*E159,1000)+CEILING((E82+E84)*E160,1000)</f>
        <v>265000</v>
      </c>
      <c r="F85" s="36" t="n">
        <f aca="false">CEILING((F82+F84)*F158*F159,1000)+CEILING((F82+F84)*F160,1000)</f>
        <v>353000</v>
      </c>
      <c r="G85" s="36" t="n">
        <f aca="false">CEILING((G82+G84)*G158*G159,1000)+CEILING((G82+G84)*G160,1000)</f>
        <v>441000</v>
      </c>
      <c r="H85" s="36" t="n">
        <f aca="false">CEILING((H82+H84)*H158*H159,1000)+CEILING((H82+H84)*H160,1000)</f>
        <v>529000</v>
      </c>
      <c r="I85" s="36" t="n">
        <f aca="false">CEILING((I82+I84)*I158*I159,1000)+CEILING((I82+I84)*I160,1000)</f>
        <v>705000</v>
      </c>
      <c r="J85" s="36" t="n">
        <f aca="false">CEILING((J82+J84)*J158*J159,1000)+CEILING((J82+J84)*J160,1000)</f>
        <v>881000</v>
      </c>
      <c r="K85" s="36" t="n">
        <f aca="false">CEILING((K82+K84)*K158*K159,1000)+CEILING((K82+K84)*K160,1000)</f>
        <v>1321000</v>
      </c>
      <c r="L85" s="36" t="n">
        <f aca="false">CEILING((L82+L84)*L158*L159,1000)+CEILING((L82+L84)*L160,1000)</f>
        <v>1761000</v>
      </c>
    </row>
    <row r="86" customFormat="false" ht="15" hidden="false" customHeight="false" outlineLevel="0" collapsed="false">
      <c r="B86" s="4" t="s">
        <v>497</v>
      </c>
      <c r="C86" s="36" t="n">
        <f aca="false">MIN(C163,MAX(C162,ROUND(C82*C161,0)))</f>
        <v>7500</v>
      </c>
      <c r="D86" s="36" t="n">
        <f aca="false">MIN(D163,MAX(D162,ROUND(D82*D161,0)))</f>
        <v>15000</v>
      </c>
      <c r="E86" s="36" t="n">
        <f aca="false">MIN(E163,MAX(E162,ROUND(E82*E161,0)))</f>
        <v>22500</v>
      </c>
      <c r="F86" s="36" t="n">
        <f aca="false">MIN(F163,MAX(F162,ROUND(F82*F161,0)))</f>
        <v>30000</v>
      </c>
      <c r="G86" s="36" t="n">
        <f aca="false">MIN(G163,MAX(G162,ROUND(G82*G161,0)))</f>
        <v>37500</v>
      </c>
      <c r="H86" s="36" t="n">
        <f aca="false">MIN(H163,MAX(H162,ROUND(H82*H161,0)))</f>
        <v>45000</v>
      </c>
      <c r="I86" s="36" t="n">
        <f aca="false">MIN(I163,MAX(I162,ROUND(I82*I161,0)))</f>
        <v>60000</v>
      </c>
      <c r="J86" s="36" t="n">
        <f aca="false">MIN(J163,MAX(J162,ROUND(J82*J161,0)))</f>
        <v>75000</v>
      </c>
      <c r="K86" s="36" t="n">
        <f aca="false">MIN(K163,MAX(K162,ROUND(K82*K161,0)))</f>
        <v>112500</v>
      </c>
      <c r="L86" s="36" t="n">
        <f aca="false">MIN(L163,MAX(L162,ROUND(L82*L161,0)))</f>
        <v>150000</v>
      </c>
    </row>
    <row r="87" customFormat="false" ht="15" hidden="false" customHeight="false" outlineLevel="0" collapsed="false">
      <c r="B87" s="4" t="s">
        <v>500</v>
      </c>
      <c r="C87" s="36" t="n">
        <f aca="false">MIN(C166,MAX(C165,ROUND(C82*C164,0)))</f>
        <v>25000</v>
      </c>
      <c r="D87" s="36" t="n">
        <f aca="false">MIN(D166,MAX(D165,ROUND(D82*D164,0)))</f>
        <v>50000</v>
      </c>
      <c r="E87" s="36" t="n">
        <f aca="false">MIN(E166,MAX(E165,ROUND(E82*E164,0)))</f>
        <v>75000</v>
      </c>
      <c r="F87" s="36" t="n">
        <f aca="false">MIN(F166,MAX(F165,ROUND(F82*F164,0)))</f>
        <v>100000</v>
      </c>
      <c r="G87" s="36" t="n">
        <f aca="false">MIN(G166,MAX(G165,ROUND(G82*G164,0)))</f>
        <v>125000</v>
      </c>
      <c r="H87" s="36" t="n">
        <f aca="false">MIN(H166,MAX(H165,ROUND(H82*H164,0)))</f>
        <v>150000</v>
      </c>
      <c r="I87" s="36" t="n">
        <f aca="false">MIN(I166,MAX(I165,ROUND(I82*I164,0)))</f>
        <v>200000</v>
      </c>
      <c r="J87" s="36" t="n">
        <f aca="false">MIN(J166,MAX(J165,ROUND(J82*J164,0)))</f>
        <v>250000</v>
      </c>
      <c r="K87" s="36" t="n">
        <f aca="false">MIN(K166,MAX(K165,ROUND(K82*K164,0)))</f>
        <v>375000</v>
      </c>
      <c r="L87" s="36" t="n">
        <f aca="false">MIN(L166,MAX(L165,ROUND(L82*L164,0)))</f>
        <v>500000</v>
      </c>
    </row>
    <row r="88" customFormat="false" ht="15" hidden="false" customHeight="false" outlineLevel="0" collapsed="false">
      <c r="B88" s="4" t="s">
        <v>502</v>
      </c>
      <c r="C88" s="36" t="n">
        <f aca="false">C169*ROUND((C86+C87)*C168*C167,0)</f>
        <v>3575</v>
      </c>
      <c r="D88" s="36" t="n">
        <f aca="false">D169*ROUND((D86+D87)*D168*D167,0)</f>
        <v>7150</v>
      </c>
      <c r="E88" s="36" t="n">
        <f aca="false">E169*ROUND((E86+E87)*E168*E167,0)</f>
        <v>10725</v>
      </c>
      <c r="F88" s="36" t="n">
        <f aca="false">F169*ROUND((F86+F87)*F168*F167,0)</f>
        <v>14300</v>
      </c>
      <c r="G88" s="36" t="n">
        <f aca="false">G169*ROUND((G86+G87)*G168*G167,0)</f>
        <v>17875</v>
      </c>
      <c r="H88" s="36" t="n">
        <f aca="false">H169*ROUND((H86+H87)*H168*H167,0)</f>
        <v>21450</v>
      </c>
      <c r="I88" s="36" t="n">
        <f aca="false">I169*ROUND((I86+I87)*I168*I167,0)</f>
        <v>28600</v>
      </c>
      <c r="J88" s="36" t="n">
        <f aca="false">J169*ROUND((J86+J87)*J168*J167,0)</f>
        <v>35750</v>
      </c>
      <c r="K88" s="36" t="n">
        <f aca="false">K169*ROUND((K86+K87)*K168*K167,0)</f>
        <v>53625</v>
      </c>
      <c r="L88" s="36" t="n">
        <f aca="false">L169*ROUND((L86+L87)*L168*L167,0)</f>
        <v>71500</v>
      </c>
    </row>
    <row r="89" customFormat="false" ht="15" hidden="false" customHeight="false" outlineLevel="0" collapsed="false">
      <c r="B89" s="4" t="s">
        <v>505</v>
      </c>
      <c r="C89" s="36" t="n">
        <f aca="false">C107</f>
        <v>7555.8</v>
      </c>
      <c r="D89" s="36" t="n">
        <f aca="false">D107</f>
        <v>12648.45</v>
      </c>
      <c r="E89" s="36" t="n">
        <f aca="false">E107</f>
        <v>17740.85</v>
      </c>
      <c r="F89" s="36" t="n">
        <f aca="false">F107</f>
        <v>22833.65</v>
      </c>
      <c r="G89" s="36" t="n">
        <f aca="false">G107</f>
        <v>27926.15</v>
      </c>
      <c r="H89" s="36" t="n">
        <f aca="false">H107</f>
        <v>33018.7</v>
      </c>
      <c r="I89" s="36" t="n">
        <f aca="false">I107</f>
        <v>43204</v>
      </c>
      <c r="J89" s="36" t="n">
        <f aca="false">J107</f>
        <v>53388.95</v>
      </c>
      <c r="K89" s="36" t="n">
        <f aca="false">K107</f>
        <v>78851.85</v>
      </c>
      <c r="L89" s="36" t="n">
        <f aca="false">L107</f>
        <v>104314.75</v>
      </c>
    </row>
    <row r="90" customFormat="false" ht="15" hidden="false" customHeight="false" outlineLevel="0" collapsed="false">
      <c r="B90" s="4" t="s">
        <v>508</v>
      </c>
      <c r="C90" s="35" t="n">
        <v>0</v>
      </c>
      <c r="D90" s="35" t="n">
        <v>0</v>
      </c>
      <c r="E90" s="35" t="n">
        <v>0</v>
      </c>
      <c r="F90" s="35" t="n">
        <v>0</v>
      </c>
      <c r="G90" s="35" t="n">
        <v>0</v>
      </c>
      <c r="H90" s="35" t="n">
        <v>0</v>
      </c>
      <c r="I90" s="35" t="n">
        <v>0</v>
      </c>
      <c r="J90" s="35" t="n">
        <v>0</v>
      </c>
      <c r="K90" s="35" t="n">
        <v>0</v>
      </c>
      <c r="L90" s="35" t="n">
        <v>0</v>
      </c>
    </row>
    <row r="91" customFormat="false" ht="15" hidden="false" customHeight="false" outlineLevel="0" collapsed="false">
      <c r="B91" s="4" t="s">
        <v>511</v>
      </c>
      <c r="C91" s="35" t="n">
        <v>0</v>
      </c>
      <c r="D91" s="35" t="n">
        <v>0</v>
      </c>
      <c r="E91" s="35" t="n">
        <v>0</v>
      </c>
      <c r="F91" s="35" t="n">
        <v>0</v>
      </c>
      <c r="G91" s="35" t="n">
        <v>0</v>
      </c>
      <c r="H91" s="35" t="n">
        <v>0</v>
      </c>
      <c r="I91" s="35" t="n">
        <v>0</v>
      </c>
      <c r="J91" s="35" t="n">
        <v>0</v>
      </c>
      <c r="K91" s="35" t="n">
        <v>0</v>
      </c>
      <c r="L91" s="35" t="n">
        <v>0</v>
      </c>
    </row>
    <row r="92" customFormat="false" ht="15" hidden="false" customHeight="false" outlineLevel="0" collapsed="false">
      <c r="B92" s="25" t="s">
        <v>513</v>
      </c>
      <c r="C92" s="54" t="n">
        <f aca="false">SUM(C82:C88)+C89+C90+C91</f>
        <v>732630.8</v>
      </c>
      <c r="D92" s="54" t="n">
        <f aca="false">SUM(D82:D88)+D89+D90+D91</f>
        <v>1461798.45</v>
      </c>
      <c r="E92" s="54" t="n">
        <f aca="false">SUM(E82:E88)+E89+E90+E91</f>
        <v>2190965.85</v>
      </c>
      <c r="F92" s="54" t="n">
        <f aca="false">SUM(F82:F88)+F89+F90+F91</f>
        <v>2920133.65</v>
      </c>
      <c r="G92" s="54" t="n">
        <f aca="false">SUM(G82:G88)+G89+G90+G91</f>
        <v>3649301.15</v>
      </c>
      <c r="H92" s="54" t="n">
        <f aca="false">SUM(H82:H88)+H89+H90+H91</f>
        <v>4378468.7</v>
      </c>
      <c r="I92" s="54" t="n">
        <f aca="false">SUM(I82:I88)+I89+I90+I91</f>
        <v>5836804</v>
      </c>
      <c r="J92" s="54" t="n">
        <f aca="false">SUM(J82:J88)+J89+J90+J91</f>
        <v>7295138.95</v>
      </c>
      <c r="K92" s="54" t="n">
        <f aca="false">SUM(K82:K88)+K89+K90+K91</f>
        <v>10940976.85</v>
      </c>
      <c r="L92" s="54" t="n">
        <f aca="false">SUM(L82:L88)+L89+L90+L91</f>
        <v>14586814.75</v>
      </c>
    </row>
    <row r="93" customFormat="false" ht="15" hidden="false" customHeight="false" outlineLevel="0" collapsed="false">
      <c r="A93" s="7" t="s">
        <v>516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customFormat="false" ht="15" hidden="false" customHeight="false" outlineLevel="0" collapsed="false">
      <c r="B94" s="4" t="s">
        <v>517</v>
      </c>
      <c r="C94" s="36" t="n">
        <f aca="false">SUM(C82:C88)+C90+C91</f>
        <v>725075</v>
      </c>
      <c r="D94" s="36" t="n">
        <f aca="false">SUM(D82:D88)+D90+D91</f>
        <v>1449150</v>
      </c>
      <c r="E94" s="36" t="n">
        <f aca="false">SUM(E82:E88)+E90+E91</f>
        <v>2173225</v>
      </c>
      <c r="F94" s="36" t="n">
        <f aca="false">SUM(F82:F88)+F90+F91</f>
        <v>2897300</v>
      </c>
      <c r="G94" s="36" t="n">
        <f aca="false">SUM(G82:G88)+G90+G91</f>
        <v>3621375</v>
      </c>
      <c r="H94" s="36" t="n">
        <f aca="false">SUM(H82:H88)+H90+H91</f>
        <v>4345450</v>
      </c>
      <c r="I94" s="36" t="n">
        <f aca="false">SUM(I82:I88)+I90+I91</f>
        <v>5793600</v>
      </c>
      <c r="J94" s="36" t="n">
        <f aca="false">SUM(J82:J88)+J90+J91</f>
        <v>7241750</v>
      </c>
      <c r="K94" s="36" t="n">
        <f aca="false">SUM(K82:K88)+K90+K91</f>
        <v>10862125</v>
      </c>
      <c r="L94" s="36" t="n">
        <f aca="false">SUM(L82:L88)+L90+L91</f>
        <v>14482500</v>
      </c>
    </row>
    <row r="95" customFormat="false" ht="15" hidden="false" customHeight="false" outlineLevel="0" collapsed="false">
      <c r="B95" s="4" t="s">
        <v>518</v>
      </c>
      <c r="C95" s="36" t="n">
        <f aca="false">IF(C94&gt;0,ROUNDUP(ROUND((C94+C170)/(1-C171),6),0)-C94,0)</f>
        <v>4500</v>
      </c>
      <c r="D95" s="36" t="n">
        <f aca="false">IF(D94&gt;0,ROUNDUP(ROUND((D94+D170)/(1-D171),6),0)-D94,0)</f>
        <v>4500</v>
      </c>
      <c r="E95" s="36" t="n">
        <f aca="false">IF(E94&gt;0,ROUNDUP(ROUND((E94+E170)/(1-E171),6),0)-E94,0)</f>
        <v>4500</v>
      </c>
      <c r="F95" s="36" t="n">
        <f aca="false">IF(F94&gt;0,ROUNDUP(ROUND((F94+F170)/(1-F171),6),0)-F94,0)</f>
        <v>4500</v>
      </c>
      <c r="G95" s="36" t="n">
        <f aca="false">IF(G94&gt;0,ROUNDUP(ROUND((G94+G170)/(1-G171),6),0)-G94,0)</f>
        <v>4500</v>
      </c>
      <c r="H95" s="36" t="n">
        <f aca="false">IF(H94&gt;0,ROUNDUP(ROUND((H94+H170)/(1-H171),6),0)-H94,0)</f>
        <v>4500</v>
      </c>
      <c r="I95" s="36" t="n">
        <f aca="false">IF(I94&gt;0,ROUNDUP(ROUND((I94+I170)/(1-I171),6),0)-I94,0)</f>
        <v>4500</v>
      </c>
      <c r="J95" s="36" t="n">
        <f aca="false">IF(J94&gt;0,ROUNDUP(ROUND((J94+J170)/(1-J171),6),0)-J94,0)</f>
        <v>4500</v>
      </c>
      <c r="K95" s="36" t="n">
        <f aca="false">IF(K94&gt;0,ROUNDUP(ROUND((K94+K170)/(1-K171),6),0)-K94,0)</f>
        <v>4500</v>
      </c>
      <c r="L95" s="36" t="n">
        <f aca="false">IF(L94&gt;0,ROUNDUP(ROUND((L94+L170)/(1-L171),6),0)-L94,0)</f>
        <v>4500</v>
      </c>
    </row>
    <row r="96" customFormat="false" ht="15" hidden="false" customHeight="false" outlineLevel="0" collapsed="false">
      <c r="B96" s="4" t="s">
        <v>520</v>
      </c>
      <c r="C96" s="36" t="n">
        <f aca="false">ROUND((C178+C179)*(1+C184),0)</f>
        <v>14430</v>
      </c>
      <c r="D96" s="36" t="n">
        <f aca="false">ROUND((D178+D179)*(1+D184),0)</f>
        <v>14430</v>
      </c>
      <c r="E96" s="36" t="n">
        <f aca="false">ROUND((E178+E179)*(1+E184),0)</f>
        <v>14430</v>
      </c>
      <c r="F96" s="36" t="n">
        <f aca="false">ROUND((F178+F179)*(1+F184),0)</f>
        <v>14430</v>
      </c>
      <c r="G96" s="36" t="n">
        <f aca="false">ROUND((G178+G179)*(1+G184),0)</f>
        <v>14430</v>
      </c>
      <c r="H96" s="36" t="n">
        <f aca="false">ROUND((H178+H179)*(1+H184),0)</f>
        <v>14430</v>
      </c>
      <c r="I96" s="36" t="n">
        <f aca="false">ROUND((I178+I179)*(1+I184),0)</f>
        <v>14430</v>
      </c>
      <c r="J96" s="36" t="n">
        <f aca="false">ROUND((J178+J179)*(1+J184),0)</f>
        <v>14430</v>
      </c>
      <c r="K96" s="36" t="n">
        <f aca="false">ROUND((K178+K179)*(1+K184),0)</f>
        <v>14430</v>
      </c>
      <c r="L96" s="36" t="n">
        <f aca="false">ROUND((L178+L179)*(1+L184),0)</f>
        <v>14430</v>
      </c>
    </row>
    <row r="97" customFormat="false" ht="15" hidden="false" customHeight="false" outlineLevel="0" collapsed="false">
      <c r="B97" s="4" t="s">
        <v>522</v>
      </c>
      <c r="C97" s="36" t="n">
        <f aca="false">C96-C95</f>
        <v>9930</v>
      </c>
      <c r="D97" s="36" t="n">
        <f aca="false">D96-D95</f>
        <v>9930</v>
      </c>
      <c r="E97" s="36" t="n">
        <f aca="false">E96-E95</f>
        <v>9930</v>
      </c>
      <c r="F97" s="36" t="n">
        <f aca="false">F96-F95</f>
        <v>9930</v>
      </c>
      <c r="G97" s="36" t="n">
        <f aca="false">G96-G95</f>
        <v>9930</v>
      </c>
      <c r="H97" s="36" t="n">
        <f aca="false">H96-H95</f>
        <v>9930</v>
      </c>
      <c r="I97" s="36" t="n">
        <f aca="false">I96-I95</f>
        <v>9930</v>
      </c>
      <c r="J97" s="36" t="n">
        <f aca="false">J96-J95</f>
        <v>9930</v>
      </c>
      <c r="K97" s="36" t="n">
        <f aca="false">K96-K95</f>
        <v>9930</v>
      </c>
      <c r="L97" s="36" t="n">
        <f aca="false">L96-L95</f>
        <v>9930</v>
      </c>
    </row>
    <row r="98" customFormat="false" ht="15" hidden="false" customHeight="false" outlineLevel="0" collapsed="false">
      <c r="B98" s="4" t="s">
        <v>524</v>
      </c>
      <c r="C98" s="36" t="n">
        <f aca="false">IF(C94&gt;0,ROUNDUP(ROUND((C94+C172)/(1-C173),6),0)-C94,0)</f>
        <v>5112</v>
      </c>
      <c r="D98" s="36" t="n">
        <f aca="false">IF(D94&gt;0,ROUNDUP(ROUND((D94+D172)/(1-D173),6),0)-D94,0)</f>
        <v>10216</v>
      </c>
      <c r="E98" s="36" t="n">
        <f aca="false">IF(E94&gt;0,ROUNDUP(ROUND((E94+E172)/(1-E173),6),0)-E94,0)</f>
        <v>15320</v>
      </c>
      <c r="F98" s="36" t="n">
        <f aca="false">IF(F94&gt;0,ROUNDUP(ROUND((F94+F172)/(1-F173),6),0)-F94,0)</f>
        <v>20425</v>
      </c>
      <c r="G98" s="36" t="n">
        <f aca="false">IF(G94&gt;0,ROUNDUP(ROUND((G94+G172)/(1-G173),6),0)-G94,0)</f>
        <v>25529</v>
      </c>
      <c r="H98" s="36" t="n">
        <f aca="false">IF(H94&gt;0,ROUNDUP(ROUND((H94+H172)/(1-H173),6),0)-H94,0)</f>
        <v>30633</v>
      </c>
      <c r="I98" s="36" t="n">
        <f aca="false">IF(I94&gt;0,ROUNDUP(ROUND((I94+I172)/(1-I173),6),0)-I94,0)</f>
        <v>40842</v>
      </c>
      <c r="J98" s="36" t="n">
        <f aca="false">IF(J94&gt;0,ROUNDUP(ROUND((J94+J172)/(1-J173),6),0)-J94,0)</f>
        <v>51050</v>
      </c>
      <c r="K98" s="36" t="n">
        <f aca="false">IF(K94&gt;0,ROUNDUP(ROUND((K94+K172)/(1-K173),6),0)-K94,0)</f>
        <v>76571</v>
      </c>
      <c r="L98" s="36" t="n">
        <f aca="false">IF(L94&gt;0,ROUNDUP(ROUND((L94+L172)/(1-L173),6),0)-L94,0)</f>
        <v>102093</v>
      </c>
    </row>
    <row r="99" customFormat="false" ht="15" hidden="false" customHeight="false" outlineLevel="0" collapsed="false">
      <c r="B99" s="4" t="s">
        <v>526</v>
      </c>
      <c r="C99" s="36" t="n">
        <f aca="false">ROUND((C94+C98)*C180+C179*(1+C184),0)</f>
        <v>9551</v>
      </c>
      <c r="D99" s="36" t="n">
        <f aca="false">ROUND((D94+D98)*D180+D179*(1+D184),0)</f>
        <v>14656</v>
      </c>
      <c r="E99" s="36" t="n">
        <f aca="false">ROUND((E94+E98)*E180+E179*(1+E184),0)</f>
        <v>19760</v>
      </c>
      <c r="F99" s="36" t="n">
        <f aca="false">ROUND((F94+F98)*F180+F179*(1+F184),0)</f>
        <v>24864</v>
      </c>
      <c r="G99" s="36" t="n">
        <f aca="false">ROUND((G94+G98)*G180+G179*(1+G184),0)</f>
        <v>29968</v>
      </c>
      <c r="H99" s="36" t="n">
        <f aca="false">ROUND((H94+H98)*H180+H179*(1+H184),0)</f>
        <v>35073</v>
      </c>
      <c r="I99" s="36" t="n">
        <f aca="false">ROUND((I94+I98)*I180+I179*(1+I184),0)</f>
        <v>45281</v>
      </c>
      <c r="J99" s="36" t="n">
        <f aca="false">ROUND((J94+J98)*J180+J179*(1+J184),0)</f>
        <v>55490</v>
      </c>
      <c r="K99" s="36" t="n">
        <f aca="false">ROUND((K94+K98)*K180+K179*(1+K184),0)</f>
        <v>81011</v>
      </c>
      <c r="L99" s="36" t="n">
        <f aca="false">ROUND((L94+L98)*L180+L179*(1+L184),0)</f>
        <v>106532</v>
      </c>
    </row>
    <row r="100" customFormat="false" ht="15" hidden="false" customHeight="false" outlineLevel="0" collapsed="false">
      <c r="B100" s="4" t="s">
        <v>527</v>
      </c>
      <c r="C100" s="36" t="n">
        <f aca="false">C99-C98</f>
        <v>4439</v>
      </c>
      <c r="D100" s="36" t="n">
        <f aca="false">D99-D98</f>
        <v>4440</v>
      </c>
      <c r="E100" s="36" t="n">
        <f aca="false">E99-E98</f>
        <v>4440</v>
      </c>
      <c r="F100" s="36" t="n">
        <f aca="false">F99-F98</f>
        <v>4439</v>
      </c>
      <c r="G100" s="36" t="n">
        <f aca="false">G99-G98</f>
        <v>4439</v>
      </c>
      <c r="H100" s="36" t="n">
        <f aca="false">H99-H98</f>
        <v>4440</v>
      </c>
      <c r="I100" s="36" t="n">
        <f aca="false">I99-I98</f>
        <v>4439</v>
      </c>
      <c r="J100" s="36" t="n">
        <f aca="false">J99-J98</f>
        <v>4440</v>
      </c>
      <c r="K100" s="36" t="n">
        <f aca="false">K99-K98</f>
        <v>4440</v>
      </c>
      <c r="L100" s="36" t="n">
        <f aca="false">L99-L98</f>
        <v>4439</v>
      </c>
    </row>
    <row r="101" customFormat="false" ht="15" hidden="false" customHeight="false" outlineLevel="0" collapsed="false">
      <c r="B101" s="4" t="s">
        <v>528</v>
      </c>
      <c r="C101" s="36" t="n">
        <f aca="false">IF(C94&gt;0,ROUNDUP(ROUND((C94+C174)/(1-C175),6),0)-C94,0)</f>
        <v>11042</v>
      </c>
      <c r="D101" s="36" t="n">
        <f aca="false">IF(D94&gt;0,ROUNDUP(ROUND((D94+D174)/(1-D175),6),0)-D94,0)</f>
        <v>22069</v>
      </c>
      <c r="E101" s="36" t="n">
        <f aca="false">IF(E94&gt;0,ROUNDUP(ROUND((E94+E174)/(1-E175),6),0)-E94,0)</f>
        <v>33095</v>
      </c>
      <c r="F101" s="36" t="n">
        <f aca="false">IF(F94&gt;0,ROUNDUP(ROUND((F94+F174)/(1-F175),6),0)-F94,0)</f>
        <v>44122</v>
      </c>
      <c r="G101" s="36" t="n">
        <f aca="false">IF(G94&gt;0,ROUNDUP(ROUND((G94+G174)/(1-G175),6),0)-G94,0)</f>
        <v>55148</v>
      </c>
      <c r="H101" s="36" t="n">
        <f aca="false">IF(H94&gt;0,ROUNDUP(ROUND((H94+H174)/(1-H175),6),0)-H94,0)</f>
        <v>66175</v>
      </c>
      <c r="I101" s="36" t="n">
        <f aca="false">IF(I94&gt;0,ROUNDUP(ROUND((I94+I174)/(1-I175),6),0)-I94,0)</f>
        <v>88228</v>
      </c>
      <c r="J101" s="36" t="n">
        <f aca="false">IF(J94&gt;0,ROUNDUP(ROUND((J94+J174)/(1-J175),6),0)-J94,0)</f>
        <v>110281</v>
      </c>
      <c r="K101" s="36" t="n">
        <f aca="false">IF(K94&gt;0,ROUNDUP(ROUND((K94+K174)/(1-K175),6),0)-K94,0)</f>
        <v>165414</v>
      </c>
      <c r="L101" s="36" t="n">
        <f aca="false">IF(L94&gt;0,ROUNDUP(ROUND((L94+L174)/(1-L175),6),0)-L94,0)</f>
        <v>220546</v>
      </c>
    </row>
    <row r="102" customFormat="false" ht="15" hidden="false" customHeight="false" outlineLevel="0" collapsed="false">
      <c r="B102" s="4" t="s">
        <v>530</v>
      </c>
      <c r="C102" s="36" t="n">
        <f aca="false">ROUND(((C94+C101)*C181+C179)*(1+C184),0)</f>
        <v>28953</v>
      </c>
      <c r="D102" s="36" t="n">
        <f aca="false">ROUND(((D94+D101)*D181+D179)*(1+D184),0)</f>
        <v>53432</v>
      </c>
      <c r="E102" s="36" t="n">
        <f aca="false">ROUND(((E94+E101)*E181+E179)*(1+E184),0)</f>
        <v>77910</v>
      </c>
      <c r="F102" s="36" t="n">
        <f aca="false">ROUND(((F94+F101)*F181+F179)*(1+F184),0)</f>
        <v>102389</v>
      </c>
      <c r="G102" s="36" t="n">
        <f aca="false">ROUND(((G94+G101)*G181+G179)*(1+G184),0)</f>
        <v>126868</v>
      </c>
      <c r="H102" s="36" t="n">
        <f aca="false">ROUND(((H94+H101)*H181+H179)*(1+H184),0)</f>
        <v>151347</v>
      </c>
      <c r="I102" s="36" t="n">
        <f aca="false">ROUND(((I94+I101)*I181+I179)*(1+I184),0)</f>
        <v>200305</v>
      </c>
      <c r="J102" s="36" t="n">
        <f aca="false">ROUND(((J94+J101)*J181+J179)*(1+J184),0)</f>
        <v>249263</v>
      </c>
      <c r="K102" s="36" t="n">
        <f aca="false">ROUND(((K94+K101)*K181+K179)*(1+K184),0)</f>
        <v>371657</v>
      </c>
      <c r="L102" s="36" t="n">
        <f aca="false">ROUND(((L94+L101)*L181+L179)*(1+L184),0)</f>
        <v>494051</v>
      </c>
    </row>
    <row r="103" customFormat="false" ht="15" hidden="false" customHeight="false" outlineLevel="0" collapsed="false">
      <c r="B103" s="4" t="s">
        <v>531</v>
      </c>
      <c r="C103" s="36" t="n">
        <f aca="false">C102-C101</f>
        <v>17911</v>
      </c>
      <c r="D103" s="36" t="n">
        <f aca="false">D102-D101</f>
        <v>31363</v>
      </c>
      <c r="E103" s="36" t="n">
        <f aca="false">E102-E101</f>
        <v>44815</v>
      </c>
      <c r="F103" s="36" t="n">
        <f aca="false">F102-F101</f>
        <v>58267</v>
      </c>
      <c r="G103" s="36" t="n">
        <f aca="false">G102-G101</f>
        <v>71720</v>
      </c>
      <c r="H103" s="36" t="n">
        <f aca="false">H102-H101</f>
        <v>85172</v>
      </c>
      <c r="I103" s="36" t="n">
        <f aca="false">I102-I101</f>
        <v>112077</v>
      </c>
      <c r="J103" s="36" t="n">
        <f aca="false">J102-J101</f>
        <v>138982</v>
      </c>
      <c r="K103" s="36" t="n">
        <f aca="false">K102-K101</f>
        <v>206243</v>
      </c>
      <c r="L103" s="36" t="n">
        <f aca="false">L102-L101</f>
        <v>273505</v>
      </c>
    </row>
    <row r="104" customFormat="false" ht="15" hidden="false" customHeight="false" outlineLevel="0" collapsed="false">
      <c r="B104" s="4" t="s">
        <v>532</v>
      </c>
      <c r="C104" s="36" t="n">
        <f aca="false">IF(C94&gt;0,ROUNDUP(ROUND((C94+C176)/(1-C177),6),0)-C94,0)</f>
        <v>23715</v>
      </c>
      <c r="D104" s="36" t="n">
        <f aca="false">IF(D94&gt;0,ROUNDUP(ROUND((D94+D176)/(1-D177),6),0)-D94,0)</f>
        <v>45341</v>
      </c>
      <c r="E104" s="36" t="n">
        <f aca="false">IF(E94&gt;0,ROUNDUP(ROUND((E94+E176)/(1-E177),6),0)-E94,0)</f>
        <v>66966</v>
      </c>
      <c r="F104" s="36" t="n">
        <f aca="false">IF(F94&gt;0,ROUNDUP(ROUND((F94+F176)/(1-F177),6),0)-F94,0)</f>
        <v>88591</v>
      </c>
      <c r="G104" s="36" t="n">
        <f aca="false">IF(G94&gt;0,ROUNDUP(ROUND((G94+G176)/(1-G177),6),0)-G94,0)</f>
        <v>110217</v>
      </c>
      <c r="H104" s="36" t="n">
        <f aca="false">IF(H94&gt;0,ROUNDUP(ROUND((H94+H176)/(1-H177),6),0)-H94,0)</f>
        <v>131842</v>
      </c>
      <c r="I104" s="36" t="n">
        <f aca="false">IF(I94&gt;0,ROUNDUP(ROUND((I94+I176)/(1-I177),6),0)-I94,0)</f>
        <v>175093</v>
      </c>
      <c r="J104" s="36" t="n">
        <f aca="false">IF(J94&gt;0,ROUNDUP(ROUND((J94+J176)/(1-J177),6),0)-J94,0)</f>
        <v>218343</v>
      </c>
      <c r="K104" s="36" t="n">
        <f aca="false">IF(K94&gt;0,ROUNDUP(ROUND((K94+K176)/(1-K177),6),0)-K94,0)</f>
        <v>326470</v>
      </c>
      <c r="L104" s="36" t="n">
        <f aca="false">IF(L94&gt;0,ROUNDUP(ROUND((L94+L176)/(1-L177),6),0)-L94,0)</f>
        <v>434596</v>
      </c>
    </row>
    <row r="105" customFormat="false" ht="15" hidden="false" customHeight="false" outlineLevel="0" collapsed="false">
      <c r="B105" s="4" t="s">
        <v>534</v>
      </c>
      <c r="C105" s="36" t="n">
        <f aca="false">ROUND(((C94+C104)*C182+C183+C179)*(1+C184),0)</f>
        <v>30764</v>
      </c>
      <c r="D105" s="36" t="n">
        <f aca="false">ROUND(((D94+D104)*D182+D183+D179)*(1+D184),0)</f>
        <v>54768</v>
      </c>
      <c r="E105" s="36" t="n">
        <f aca="false">ROUND(((E94+E104)*E182+E183+E179)*(1+E184),0)</f>
        <v>78772</v>
      </c>
      <c r="F105" s="36" t="n">
        <f aca="false">ROUND(((F94+F104)*F182+F183+F179)*(1+F184),0)</f>
        <v>102776</v>
      </c>
      <c r="G105" s="36" t="n">
        <f aca="false">ROUND(((G94+G104)*G182+G183+G179)*(1+G184),0)</f>
        <v>126780</v>
      </c>
      <c r="H105" s="36" t="n">
        <f aca="false">ROUND(((H94+H104)*H182+H183+H179)*(1+H184),0)</f>
        <v>150784</v>
      </c>
      <c r="I105" s="36" t="n">
        <f aca="false">ROUND(((I94+I104)*I182+I183+I179)*(1+I184),0)</f>
        <v>198792</v>
      </c>
      <c r="J105" s="36" t="n">
        <f aca="false">ROUND(((J94+J104)*J182+J183+J179)*(1+J184),0)</f>
        <v>246800</v>
      </c>
      <c r="K105" s="36" t="n">
        <f aca="false">ROUND(((K94+K104)*K182+K183+K179)*(1+K184),0)</f>
        <v>366821</v>
      </c>
      <c r="L105" s="36" t="n">
        <f aca="false">ROUND(((L94+L104)*L182+L183+L179)*(1+L184),0)</f>
        <v>486841</v>
      </c>
    </row>
    <row r="106" customFormat="false" ht="15" hidden="false" customHeight="false" outlineLevel="0" collapsed="false">
      <c r="B106" s="4" t="s">
        <v>535</v>
      </c>
      <c r="C106" s="36" t="n">
        <f aca="false">C105-C104</f>
        <v>7049</v>
      </c>
      <c r="D106" s="36" t="n">
        <f aca="false">D105-D104</f>
        <v>9427</v>
      </c>
      <c r="E106" s="36" t="n">
        <f aca="false">E105-E104</f>
        <v>11806</v>
      </c>
      <c r="F106" s="36" t="n">
        <f aca="false">F105-F104</f>
        <v>14185</v>
      </c>
      <c r="G106" s="36" t="n">
        <f aca="false">G105-G104</f>
        <v>16563</v>
      </c>
      <c r="H106" s="36" t="n">
        <f aca="false">H105-H104</f>
        <v>18942</v>
      </c>
      <c r="I106" s="36" t="n">
        <f aca="false">I105-I104</f>
        <v>23699</v>
      </c>
      <c r="J106" s="36" t="n">
        <f aca="false">J105-J104</f>
        <v>28457</v>
      </c>
      <c r="K106" s="36" t="n">
        <f aca="false">K105-K104</f>
        <v>40351</v>
      </c>
      <c r="L106" s="36" t="n">
        <f aca="false">L105-L104</f>
        <v>52245</v>
      </c>
    </row>
    <row r="107" customFormat="false" ht="15" hidden="false" customHeight="false" outlineLevel="0" collapsed="false">
      <c r="B107" s="25" t="s">
        <v>536</v>
      </c>
      <c r="C107" s="54" t="n">
        <f aca="false">C188*C95+C189*C98+C190*C101+C191*C104</f>
        <v>7555.8</v>
      </c>
      <c r="D107" s="54" t="n">
        <f aca="false">D188*D95+D189*D98+D190*D101+D191*D104</f>
        <v>12648.45</v>
      </c>
      <c r="E107" s="54" t="n">
        <f aca="false">E188*E95+E189*E98+E190*E101+E191*E104</f>
        <v>17740.85</v>
      </c>
      <c r="F107" s="54" t="n">
        <f aca="false">F188*F95+F189*F98+F190*F101+F191*F104</f>
        <v>22833.65</v>
      </c>
      <c r="G107" s="54" t="n">
        <f aca="false">G188*G95+G189*G98+G190*G101+G191*G104</f>
        <v>27926.15</v>
      </c>
      <c r="H107" s="54" t="n">
        <f aca="false">H188*H95+H189*H98+H190*H101+H191*H104</f>
        <v>33018.7</v>
      </c>
      <c r="I107" s="54" t="n">
        <f aca="false">I188*I95+I189*I98+I190*I101+I191*I104</f>
        <v>43204</v>
      </c>
      <c r="J107" s="54" t="n">
        <f aca="false">J188*J95+J189*J98+J190*J101+J191*J104</f>
        <v>53388.95</v>
      </c>
      <c r="K107" s="54" t="n">
        <f aca="false">K188*K95+K189*K98+K190*K101+K191*K104</f>
        <v>78851.85</v>
      </c>
      <c r="L107" s="54" t="n">
        <f aca="false">L188*L95+L189*L98+L190*L101+L191*L104</f>
        <v>104314.75</v>
      </c>
    </row>
    <row r="108" customFormat="false" ht="15" hidden="false" customHeight="false" outlineLevel="0" collapsed="false">
      <c r="B108" s="25" t="s">
        <v>537</v>
      </c>
      <c r="C108" s="54" t="n">
        <f aca="false">C188*C96+C189*C99+C190*C102+C191*C105</f>
        <v>17022.1</v>
      </c>
      <c r="D108" s="54" t="n">
        <f aca="false">D188*D96+D189*D99+D190*D102+D191*D105</f>
        <v>24370.6</v>
      </c>
      <c r="E108" s="54" t="n">
        <f aca="false">E188*E96+E189*E99+E190*E102+E191*E105</f>
        <v>31718.7</v>
      </c>
      <c r="F108" s="54" t="n">
        <f aca="false">F188*F96+F189*F99+F190*F102+F191*F105</f>
        <v>39066.95</v>
      </c>
      <c r="G108" s="54" t="n">
        <f aca="false">G188*G96+G189*G99+G190*G102+G191*G105</f>
        <v>46415.2</v>
      </c>
      <c r="H108" s="54" t="n">
        <f aca="false">H188*H96+H189*H99+H190*H102+H191*H105</f>
        <v>53763.7</v>
      </c>
      <c r="I108" s="54" t="n">
        <f aca="false">I188*I96+I189*I99+I190*I102+I191*I105</f>
        <v>68460.2</v>
      </c>
      <c r="J108" s="54" t="n">
        <f aca="false">J188*J96+J189*J99+J190*J102+J191*J105</f>
        <v>83156.95</v>
      </c>
      <c r="K108" s="54" t="n">
        <f aca="false">K188*K96+K189*K99+K190*K102+K191*K105</f>
        <v>119898.4</v>
      </c>
      <c r="L108" s="54" t="n">
        <f aca="false">L188*L96+L189*L99+L190*L102+L191*L105</f>
        <v>156639.75</v>
      </c>
    </row>
    <row r="109" customFormat="false" ht="15" hidden="false" customHeight="false" outlineLevel="0" collapsed="false">
      <c r="B109" s="25" t="s">
        <v>538</v>
      </c>
      <c r="C109" s="54" t="n">
        <f aca="false">C108-C107</f>
        <v>9466.3</v>
      </c>
      <c r="D109" s="54" t="n">
        <f aca="false">D108-D107</f>
        <v>11722.15</v>
      </c>
      <c r="E109" s="54" t="n">
        <f aca="false">E108-E107</f>
        <v>13977.85</v>
      </c>
      <c r="F109" s="54" t="n">
        <f aca="false">F108-F107</f>
        <v>16233.3</v>
      </c>
      <c r="G109" s="54" t="n">
        <f aca="false">G108-G107</f>
        <v>18489.05</v>
      </c>
      <c r="H109" s="54" t="n">
        <f aca="false">H108-H107</f>
        <v>20745</v>
      </c>
      <c r="I109" s="54" t="n">
        <f aca="false">I108-I107</f>
        <v>25256.2</v>
      </c>
      <c r="J109" s="54" t="n">
        <f aca="false">J108-J107</f>
        <v>29768</v>
      </c>
      <c r="K109" s="54" t="n">
        <f aca="false">K108-K107</f>
        <v>41046.55</v>
      </c>
      <c r="L109" s="54" t="n">
        <f aca="false">L108-L107</f>
        <v>52325</v>
      </c>
    </row>
    <row r="110" customFormat="false" ht="15" hidden="false" customHeight="false" outlineLevel="0" collapsed="false">
      <c r="A110" s="7" t="s">
        <v>539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customFormat="false" ht="15" hidden="false" customHeight="false" outlineLevel="0" collapsed="false">
      <c r="B111" s="4" t="s">
        <v>540</v>
      </c>
      <c r="C111" s="36" t="n">
        <f aca="false">C82</f>
        <v>500000</v>
      </c>
      <c r="D111" s="36" t="n">
        <f aca="false">D82</f>
        <v>1000000</v>
      </c>
      <c r="E111" s="36" t="n">
        <f aca="false">E82</f>
        <v>1500000</v>
      </c>
      <c r="F111" s="36" t="n">
        <f aca="false">F82</f>
        <v>2000000</v>
      </c>
      <c r="G111" s="36" t="n">
        <f aca="false">G82</f>
        <v>2500000</v>
      </c>
      <c r="H111" s="36" t="n">
        <f aca="false">H82</f>
        <v>3000000</v>
      </c>
      <c r="I111" s="36" t="n">
        <f aca="false">I82</f>
        <v>4000000</v>
      </c>
      <c r="J111" s="36" t="n">
        <f aca="false">J82</f>
        <v>5000000</v>
      </c>
      <c r="K111" s="36" t="n">
        <f aca="false">K82</f>
        <v>7500000</v>
      </c>
      <c r="L111" s="36" t="n">
        <f aca="false">L82</f>
        <v>10000000</v>
      </c>
    </row>
    <row r="112" customFormat="false" ht="15" hidden="false" customHeight="false" outlineLevel="0" collapsed="false">
      <c r="B112" s="4" t="s">
        <v>541</v>
      </c>
      <c r="C112" s="36" t="n">
        <f aca="false">C83</f>
        <v>50000</v>
      </c>
      <c r="D112" s="36" t="n">
        <f aca="false">D83</f>
        <v>100000</v>
      </c>
      <c r="E112" s="36" t="n">
        <f aca="false">E83</f>
        <v>150000</v>
      </c>
      <c r="F112" s="36" t="n">
        <f aca="false">F83</f>
        <v>200000</v>
      </c>
      <c r="G112" s="36" t="n">
        <f aca="false">G83</f>
        <v>250000</v>
      </c>
      <c r="H112" s="36" t="n">
        <f aca="false">H83</f>
        <v>300000</v>
      </c>
      <c r="I112" s="36" t="n">
        <f aca="false">I83</f>
        <v>400000</v>
      </c>
      <c r="J112" s="36" t="n">
        <f aca="false">J83</f>
        <v>500000</v>
      </c>
      <c r="K112" s="36" t="n">
        <f aca="false">K83</f>
        <v>750000</v>
      </c>
      <c r="L112" s="36" t="n">
        <f aca="false">L83</f>
        <v>1000000</v>
      </c>
    </row>
    <row r="113" customFormat="false" ht="15" hidden="false" customHeight="false" outlineLevel="0" collapsed="false">
      <c r="B113" s="4" t="s">
        <v>542</v>
      </c>
      <c r="C113" s="36" t="n">
        <f aca="false">C84+C85</f>
        <v>139000</v>
      </c>
      <c r="D113" s="36" t="n">
        <f aca="false">D84+D85</f>
        <v>277000</v>
      </c>
      <c r="E113" s="36" t="n">
        <f aca="false">E84+E85</f>
        <v>415000</v>
      </c>
      <c r="F113" s="36" t="n">
        <f aca="false">F84+F85</f>
        <v>553000</v>
      </c>
      <c r="G113" s="36" t="n">
        <f aca="false">G84+G85</f>
        <v>691000</v>
      </c>
      <c r="H113" s="36" t="n">
        <f aca="false">H84+H85</f>
        <v>829000</v>
      </c>
      <c r="I113" s="36" t="n">
        <f aca="false">I84+I85</f>
        <v>1105000</v>
      </c>
      <c r="J113" s="36" t="n">
        <f aca="false">J84+J85</f>
        <v>1381000</v>
      </c>
      <c r="K113" s="36" t="n">
        <f aca="false">K84+K85</f>
        <v>2071000</v>
      </c>
      <c r="L113" s="36" t="n">
        <f aca="false">L84+L85</f>
        <v>2761000</v>
      </c>
    </row>
    <row r="114" customFormat="false" ht="15" hidden="false" customHeight="false" outlineLevel="0" collapsed="false">
      <c r="B114" s="4" t="s">
        <v>543</v>
      </c>
      <c r="C114" s="36" t="n">
        <f aca="false">C88</f>
        <v>3575</v>
      </c>
      <c r="D114" s="36" t="n">
        <f aca="false">D88</f>
        <v>7150</v>
      </c>
      <c r="E114" s="36" t="n">
        <f aca="false">E88</f>
        <v>10725</v>
      </c>
      <c r="F114" s="36" t="n">
        <f aca="false">F88</f>
        <v>14300</v>
      </c>
      <c r="G114" s="36" t="n">
        <f aca="false">G88</f>
        <v>17875</v>
      </c>
      <c r="H114" s="36" t="n">
        <f aca="false">H88</f>
        <v>21450</v>
      </c>
      <c r="I114" s="36" t="n">
        <f aca="false">I88</f>
        <v>28600</v>
      </c>
      <c r="J114" s="36" t="n">
        <f aca="false">J88</f>
        <v>35750</v>
      </c>
      <c r="K114" s="36" t="n">
        <f aca="false">K88</f>
        <v>53625</v>
      </c>
      <c r="L114" s="36" t="n">
        <f aca="false">L88</f>
        <v>71500</v>
      </c>
    </row>
    <row r="115" customFormat="false" ht="15" hidden="false" customHeight="false" outlineLevel="0" collapsed="false">
      <c r="B115" s="4" t="s">
        <v>544</v>
      </c>
      <c r="C115" s="36" t="n">
        <f aca="false">C89</f>
        <v>7555.8</v>
      </c>
      <c r="D115" s="36" t="n">
        <f aca="false">D89</f>
        <v>12648.45</v>
      </c>
      <c r="E115" s="36" t="n">
        <f aca="false">E89</f>
        <v>17740.85</v>
      </c>
      <c r="F115" s="36" t="n">
        <f aca="false">F89</f>
        <v>22833.65</v>
      </c>
      <c r="G115" s="36" t="n">
        <f aca="false">G89</f>
        <v>27926.15</v>
      </c>
      <c r="H115" s="36" t="n">
        <f aca="false">H89</f>
        <v>33018.7</v>
      </c>
      <c r="I115" s="36" t="n">
        <f aca="false">I89</f>
        <v>43204</v>
      </c>
      <c r="J115" s="36" t="n">
        <f aca="false">J89</f>
        <v>53388.95</v>
      </c>
      <c r="K115" s="36" t="n">
        <f aca="false">K89</f>
        <v>78851.85</v>
      </c>
      <c r="L115" s="36" t="n">
        <f aca="false">L89</f>
        <v>104314.75</v>
      </c>
    </row>
    <row r="116" customFormat="false" ht="15" hidden="false" customHeight="false" outlineLevel="0" collapsed="false">
      <c r="B116" s="4" t="s">
        <v>545</v>
      </c>
      <c r="C116" s="36" t="n">
        <f aca="false">C90+C91</f>
        <v>0</v>
      </c>
      <c r="D116" s="36" t="n">
        <f aca="false">D90+D91</f>
        <v>0</v>
      </c>
      <c r="E116" s="36" t="n">
        <f aca="false">E90+E91</f>
        <v>0</v>
      </c>
      <c r="F116" s="36" t="n">
        <f aca="false">F90+F91</f>
        <v>0</v>
      </c>
      <c r="G116" s="36" t="n">
        <f aca="false">G90+G91</f>
        <v>0</v>
      </c>
      <c r="H116" s="36" t="n">
        <f aca="false">H90+H91</f>
        <v>0</v>
      </c>
      <c r="I116" s="36" t="n">
        <f aca="false">I90+I91</f>
        <v>0</v>
      </c>
      <c r="J116" s="36" t="n">
        <f aca="false">J90+J91</f>
        <v>0</v>
      </c>
      <c r="K116" s="36" t="n">
        <f aca="false">K90+K91</f>
        <v>0</v>
      </c>
      <c r="L116" s="36" t="n">
        <f aca="false">L90+L91</f>
        <v>0</v>
      </c>
    </row>
    <row r="117" customFormat="false" ht="15" hidden="false" customHeight="false" outlineLevel="0" collapsed="false">
      <c r="B117" s="25" t="s">
        <v>546</v>
      </c>
      <c r="C117" s="54" t="n">
        <f aca="false">C86+C87</f>
        <v>32500</v>
      </c>
      <c r="D117" s="54" t="n">
        <f aca="false">D86+D87</f>
        <v>65000</v>
      </c>
      <c r="E117" s="54" t="n">
        <f aca="false">E86+E87</f>
        <v>97500</v>
      </c>
      <c r="F117" s="54" t="n">
        <f aca="false">F86+F87</f>
        <v>130000</v>
      </c>
      <c r="G117" s="54" t="n">
        <f aca="false">G86+G87</f>
        <v>162500</v>
      </c>
      <c r="H117" s="54" t="n">
        <f aca="false">H86+H87</f>
        <v>195000</v>
      </c>
      <c r="I117" s="54" t="n">
        <f aca="false">I86+I87</f>
        <v>260000</v>
      </c>
      <c r="J117" s="54" t="n">
        <f aca="false">J86+J87</f>
        <v>325000</v>
      </c>
      <c r="K117" s="54" t="n">
        <f aca="false">K86+K87</f>
        <v>487500</v>
      </c>
      <c r="L117" s="54" t="n">
        <f aca="false">L86+L87</f>
        <v>650000</v>
      </c>
    </row>
    <row r="118" customFormat="false" ht="15" hidden="false" customHeight="false" outlineLevel="0" collapsed="false">
      <c r="B118" s="4" t="s">
        <v>547</v>
      </c>
      <c r="C118" s="36" t="n">
        <f aca="false">SUM(C111:C117)-C92</f>
        <v>0</v>
      </c>
      <c r="D118" s="36" t="n">
        <f aca="false">SUM(D111:D117)-D92</f>
        <v>0</v>
      </c>
      <c r="E118" s="36" t="n">
        <f aca="false">SUM(E111:E117)-E92</f>
        <v>0</v>
      </c>
      <c r="F118" s="36" t="n">
        <f aca="false">SUM(F111:F117)-F92</f>
        <v>0</v>
      </c>
      <c r="G118" s="36" t="n">
        <f aca="false">SUM(G111:G117)-G92</f>
        <v>0</v>
      </c>
      <c r="H118" s="36" t="n">
        <f aca="false">SUM(H111:H117)-H92</f>
        <v>0</v>
      </c>
      <c r="I118" s="36" t="n">
        <f aca="false">SUM(I111:I117)-I92</f>
        <v>0</v>
      </c>
      <c r="J118" s="36" t="n">
        <f aca="false">SUM(J111:J117)-J92</f>
        <v>0</v>
      </c>
      <c r="K118" s="36" t="n">
        <f aca="false">SUM(K111:K117)-K92</f>
        <v>0</v>
      </c>
      <c r="L118" s="36" t="n">
        <f aca="false">SUM(L111:L117)-L92</f>
        <v>0</v>
      </c>
    </row>
    <row r="119" customFormat="false" ht="15" hidden="false" customHeight="false" outlineLevel="0" collapsed="false">
      <c r="B119" s="4" t="s">
        <v>548</v>
      </c>
      <c r="C119" s="40" t="n">
        <f aca="false">IF(C92&gt;0,(C111+C112+C113+C114+C115)/C92,0)</f>
        <v>0.955639320651002</v>
      </c>
      <c r="D119" s="40" t="n">
        <f aca="false">IF(D92&gt;0,(D111+D112+D113+D114+D115)/D92,0)</f>
        <v>0.955534225665652</v>
      </c>
      <c r="E119" s="40" t="n">
        <f aca="false">IF(E92&gt;0,(E111+E112+E113+E114+E115)/E92,0)</f>
        <v>0.95549907818052</v>
      </c>
      <c r="F119" s="40" t="n">
        <f aca="false">IF(F92&gt;0,(F111+F112+F113+F114+F115)/F92,0)</f>
        <v>0.955481489691405</v>
      </c>
      <c r="G119" s="40" t="n">
        <f aca="false">IF(G92&gt;0,(G111+G112+G113+G114+G115)/G92,0)</f>
        <v>0.955470926262142</v>
      </c>
      <c r="H119" s="40" t="n">
        <f aca="false">IF(H92&gt;0,(H111+H112+H113+H114+H115)/H92,0)</f>
        <v>0.955463881699097</v>
      </c>
      <c r="I119" s="40" t="n">
        <f aca="false">IF(I92&gt;0,(I111+I112+I113+I114+I115)/I92,0)</f>
        <v>0.955455074386599</v>
      </c>
      <c r="J119" s="40" t="n">
        <f aca="false">IF(J92&gt;0,(J111+J112+J113+J114+J115)/J92,0)</f>
        <v>0.955449786189474</v>
      </c>
      <c r="K119" s="40" t="n">
        <f aca="false">IF(K92&gt;0,(K111+K112+K113+K114+K115)/K92,0)</f>
        <v>0.955442735444596</v>
      </c>
      <c r="L119" s="40" t="n">
        <f aca="false">IF(L92&gt;0,(L111+L112+L113+L114+L115)/L92,0)</f>
        <v>0.955439209235176</v>
      </c>
    </row>
    <row r="120" customFormat="false" ht="15" hidden="false" customHeight="false" outlineLevel="0" collapsed="false">
      <c r="A120" s="7" t="s">
        <v>549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customFormat="false" ht="15" hidden="false" customHeight="false" outlineLevel="0" collapsed="false">
      <c r="B121" s="4" t="s">
        <v>550</v>
      </c>
      <c r="C121" s="36" t="n">
        <f aca="false">C86+C87</f>
        <v>32500</v>
      </c>
      <c r="D121" s="36" t="n">
        <f aca="false">D86+D87</f>
        <v>65000</v>
      </c>
      <c r="E121" s="36" t="n">
        <f aca="false">E86+E87</f>
        <v>97500</v>
      </c>
      <c r="F121" s="36" t="n">
        <f aca="false">F86+F87</f>
        <v>130000</v>
      </c>
      <c r="G121" s="36" t="n">
        <f aca="false">G86+G87</f>
        <v>162500</v>
      </c>
      <c r="H121" s="36" t="n">
        <f aca="false">H86+H87</f>
        <v>195000</v>
      </c>
      <c r="I121" s="36" t="n">
        <f aca="false">I86+I87</f>
        <v>260000</v>
      </c>
      <c r="J121" s="36" t="n">
        <f aca="false">J86+J87</f>
        <v>325000</v>
      </c>
      <c r="K121" s="36" t="n">
        <f aca="false">K86+K87</f>
        <v>487500</v>
      </c>
      <c r="L121" s="36" t="n">
        <f aca="false">L86+L87</f>
        <v>650000</v>
      </c>
    </row>
    <row r="122" customFormat="false" ht="15" hidden="false" customHeight="false" outlineLevel="0" collapsed="false">
      <c r="B122" s="4" t="s">
        <v>551</v>
      </c>
      <c r="C122" s="36" t="n">
        <f aca="false">-ROUND(C198*C87,0)</f>
        <v>-1000</v>
      </c>
      <c r="D122" s="36" t="n">
        <f aca="false">-ROUND(D198*D87,0)</f>
        <v>-2000</v>
      </c>
      <c r="E122" s="36" t="n">
        <f aca="false">-ROUND(E198*E87,0)</f>
        <v>-3000</v>
      </c>
      <c r="F122" s="36" t="n">
        <f aca="false">-ROUND(F198*F87,0)</f>
        <v>-4000</v>
      </c>
      <c r="G122" s="36" t="n">
        <f aca="false">-ROUND(G198*G87,0)</f>
        <v>-5000</v>
      </c>
      <c r="H122" s="36" t="n">
        <f aca="false">-ROUND(H198*H87,0)</f>
        <v>-6000</v>
      </c>
      <c r="I122" s="36" t="n">
        <f aca="false">-ROUND(I198*I87,0)</f>
        <v>-8000</v>
      </c>
      <c r="J122" s="36" t="n">
        <f aca="false">-ROUND(J198*J87,0)</f>
        <v>-10000</v>
      </c>
      <c r="K122" s="36" t="n">
        <f aca="false">-ROUND(K198*K87,0)</f>
        <v>-15000</v>
      </c>
      <c r="L122" s="36" t="n">
        <f aca="false">-ROUND(L198*L87,0)</f>
        <v>-20000</v>
      </c>
    </row>
    <row r="123" customFormat="false" ht="15" hidden="false" customHeight="false" outlineLevel="0" collapsed="false">
      <c r="B123" s="4" t="s">
        <v>553</v>
      </c>
      <c r="C123" s="36" t="n">
        <f aca="false">-C199</f>
        <v>-3101.69217162075</v>
      </c>
      <c r="D123" s="36" t="n">
        <f aca="false">-D199</f>
        <v>-3101.69217162075</v>
      </c>
      <c r="E123" s="36" t="n">
        <f aca="false">-E199</f>
        <v>-3101.69217162075</v>
      </c>
      <c r="F123" s="36" t="n">
        <f aca="false">-F199</f>
        <v>-3101.69217162075</v>
      </c>
      <c r="G123" s="36" t="n">
        <f aca="false">-G199</f>
        <v>-3101.69217162075</v>
      </c>
      <c r="H123" s="36" t="n">
        <f aca="false">-H199</f>
        <v>-3101.69217162075</v>
      </c>
      <c r="I123" s="36" t="n">
        <f aca="false">-I199</f>
        <v>-3101.69217162075</v>
      </c>
      <c r="J123" s="36" t="n">
        <f aca="false">-J199</f>
        <v>-3101.69217162075</v>
      </c>
      <c r="K123" s="36" t="n">
        <f aca="false">-K199</f>
        <v>-3101.69217162075</v>
      </c>
      <c r="L123" s="36" t="n">
        <f aca="false">-L199</f>
        <v>-3101.69217162075</v>
      </c>
    </row>
    <row r="124" customFormat="false" ht="15" hidden="false" customHeight="false" outlineLevel="0" collapsed="false">
      <c r="B124" s="25" t="s">
        <v>555</v>
      </c>
      <c r="C124" s="54" t="n">
        <f aca="false">SUM(C121:C123)</f>
        <v>28398.3078283793</v>
      </c>
      <c r="D124" s="54" t="n">
        <f aca="false">SUM(D121:D123)</f>
        <v>59898.3078283793</v>
      </c>
      <c r="E124" s="54" t="n">
        <f aca="false">SUM(E121:E123)</f>
        <v>91398.3078283792</v>
      </c>
      <c r="F124" s="54" t="n">
        <f aca="false">SUM(F121:F123)</f>
        <v>122898.307828379</v>
      </c>
      <c r="G124" s="54" t="n">
        <f aca="false">SUM(G121:G123)</f>
        <v>154398.307828379</v>
      </c>
      <c r="H124" s="54" t="n">
        <f aca="false">SUM(H121:H123)</f>
        <v>185898.307828379</v>
      </c>
      <c r="I124" s="54" t="n">
        <f aca="false">SUM(I121:I123)</f>
        <v>248898.307828379</v>
      </c>
      <c r="J124" s="54" t="n">
        <f aca="false">SUM(J121:J123)</f>
        <v>311898.307828379</v>
      </c>
      <c r="K124" s="54" t="n">
        <f aca="false">SUM(K121:K123)</f>
        <v>469398.307828379</v>
      </c>
      <c r="L124" s="54" t="n">
        <f aca="false">SUM(L121:L123)</f>
        <v>626898.307828379</v>
      </c>
    </row>
    <row r="125" customFormat="false" ht="15" hidden="false" customHeight="false" outlineLevel="0" collapsed="false">
      <c r="B125" s="4" t="s">
        <v>556</v>
      </c>
      <c r="C125" s="36" t="n">
        <f aca="false">-C109</f>
        <v>-9466.3</v>
      </c>
      <c r="D125" s="36" t="n">
        <f aca="false">-D109</f>
        <v>-11722.15</v>
      </c>
      <c r="E125" s="36" t="n">
        <f aca="false">-E109</f>
        <v>-13977.85</v>
      </c>
      <c r="F125" s="36" t="n">
        <f aca="false">-F109</f>
        <v>-16233.3</v>
      </c>
      <c r="G125" s="36" t="n">
        <f aca="false">-G109</f>
        <v>-18489.05</v>
      </c>
      <c r="H125" s="36" t="n">
        <f aca="false">-H109</f>
        <v>-20745</v>
      </c>
      <c r="I125" s="36" t="n">
        <f aca="false">-I109</f>
        <v>-25256.2</v>
      </c>
      <c r="J125" s="36" t="n">
        <f aca="false">-J109</f>
        <v>-29768</v>
      </c>
      <c r="K125" s="36" t="n">
        <f aca="false">-K109</f>
        <v>-41046.55</v>
      </c>
      <c r="L125" s="36" t="n">
        <f aca="false">-L109</f>
        <v>-52325</v>
      </c>
    </row>
    <row r="126" customFormat="false" ht="15" hidden="false" customHeight="false" outlineLevel="0" collapsed="false">
      <c r="B126" s="4" t="s">
        <v>557</v>
      </c>
      <c r="C126" s="36" t="n">
        <f aca="false">-ROUND((C185+IF(C186&gt;0,MAX(C187,(C82+C83+C84+C85)*C186),0))*(1+C184),0)</f>
        <v>-4995</v>
      </c>
      <c r="D126" s="36" t="n">
        <f aca="false">-ROUND((D185+IF(D186&gt;0,MAX(D187,(D82+D83+D84+D85)*D186),0))*(1+D184),0)</f>
        <v>-4995</v>
      </c>
      <c r="E126" s="36" t="n">
        <f aca="false">-ROUND((E185+IF(E186&gt;0,MAX(E187,(E82+E83+E84+E85)*E186),0))*(1+E184),0)</f>
        <v>-4995</v>
      </c>
      <c r="F126" s="36" t="n">
        <f aca="false">-ROUND((F185+IF(F186&gt;0,MAX(F187,(F82+F83+F84+F85)*F186),0))*(1+F184),0)</f>
        <v>-4995</v>
      </c>
      <c r="G126" s="36" t="n">
        <f aca="false">-ROUND((G185+IF(G186&gt;0,MAX(G187,(G82+G83+G84+G85)*G186),0))*(1+G184),0)</f>
        <v>-4995</v>
      </c>
      <c r="H126" s="36" t="n">
        <f aca="false">-ROUND((H185+IF(H186&gt;0,MAX(H187,(H82+H83+H84+H85)*H186),0))*(1+H184),0)</f>
        <v>-4995</v>
      </c>
      <c r="I126" s="36" t="n">
        <f aca="false">-ROUND((I185+IF(I186&gt;0,MAX(I187,(I82+I83+I84+I85)*I186),0))*(1+I184),0)</f>
        <v>-4995</v>
      </c>
      <c r="J126" s="36" t="n">
        <f aca="false">-ROUND((J185+IF(J186&gt;0,MAX(J187,(J82+J83+J84+J85)*J186),0))*(1+J184),0)</f>
        <v>-4995</v>
      </c>
      <c r="K126" s="36" t="n">
        <f aca="false">-ROUND((K185+IF(K186&gt;0,MAX(K187,(K82+K83+K84+K85)*K186),0))*(1+K184),0)</f>
        <v>-4995</v>
      </c>
      <c r="L126" s="36" t="n">
        <f aca="false">-ROUND((L185+IF(L186&gt;0,MAX(L187,(L82+L83+L84+L85)*L186),0))*(1+L184),0)</f>
        <v>-4995</v>
      </c>
    </row>
    <row r="127" customFormat="false" ht="15" hidden="false" customHeight="false" outlineLevel="0" collapsed="false">
      <c r="B127" s="4" t="s">
        <v>559</v>
      </c>
      <c r="C127" s="36" t="n">
        <f aca="false">-ROUND(C192*C86,0)</f>
        <v>-3000</v>
      </c>
      <c r="D127" s="36" t="n">
        <f aca="false">-ROUND(D192*D86,0)</f>
        <v>-6000</v>
      </c>
      <c r="E127" s="36" t="n">
        <f aca="false">-ROUND(E192*E86,0)</f>
        <v>-9000</v>
      </c>
      <c r="F127" s="36" t="n">
        <f aca="false">-ROUND(F192*F86,0)</f>
        <v>-12000</v>
      </c>
      <c r="G127" s="36" t="n">
        <f aca="false">-ROUND(G192*G86,0)</f>
        <v>-15000</v>
      </c>
      <c r="H127" s="36" t="n">
        <f aca="false">-ROUND(H192*H86,0)</f>
        <v>-18000</v>
      </c>
      <c r="I127" s="36" t="n">
        <f aca="false">-ROUND(I192*I86,0)</f>
        <v>-24000</v>
      </c>
      <c r="J127" s="36" t="n">
        <f aca="false">-ROUND(J192*J86,0)</f>
        <v>-30000</v>
      </c>
      <c r="K127" s="36" t="n">
        <f aca="false">-ROUND(K192*K86,0)</f>
        <v>-45000</v>
      </c>
      <c r="L127" s="36" t="n">
        <f aca="false">-ROUND(L192*L86,0)</f>
        <v>-60000</v>
      </c>
    </row>
    <row r="128" customFormat="false" ht="15" hidden="false" customHeight="false" outlineLevel="0" collapsed="false">
      <c r="B128" s="4" t="s">
        <v>561</v>
      </c>
      <c r="C128" s="36" t="n">
        <f aca="false">-C193</f>
        <v>-10000</v>
      </c>
      <c r="D128" s="36" t="n">
        <f aca="false">-D193</f>
        <v>-10000</v>
      </c>
      <c r="E128" s="36" t="n">
        <f aca="false">-E193</f>
        <v>-10000</v>
      </c>
      <c r="F128" s="36" t="n">
        <f aca="false">-F193</f>
        <v>-10000</v>
      </c>
      <c r="G128" s="36" t="n">
        <f aca="false">-G193</f>
        <v>-10000</v>
      </c>
      <c r="H128" s="36" t="n">
        <f aca="false">-H193</f>
        <v>-10000</v>
      </c>
      <c r="I128" s="36" t="n">
        <f aca="false">-I193</f>
        <v>-10000</v>
      </c>
      <c r="J128" s="36" t="n">
        <f aca="false">-J193</f>
        <v>-10000</v>
      </c>
      <c r="K128" s="36" t="n">
        <f aca="false">-K193</f>
        <v>-10000</v>
      </c>
      <c r="L128" s="36" t="n">
        <f aca="false">-L193</f>
        <v>-10000</v>
      </c>
    </row>
    <row r="129" customFormat="false" ht="15" hidden="false" customHeight="false" outlineLevel="0" collapsed="false">
      <c r="B129" s="4" t="s">
        <v>562</v>
      </c>
      <c r="C129" s="36" t="n">
        <f aca="false">-ROUND(C191*C195*C196*C197,0)</f>
        <v>-224</v>
      </c>
      <c r="D129" s="36" t="n">
        <f aca="false">-ROUND(D191*D195*D196*D197,0)</f>
        <v>-224</v>
      </c>
      <c r="E129" s="36" t="n">
        <f aca="false">-ROUND(E191*E195*E196*E197,0)</f>
        <v>-224</v>
      </c>
      <c r="F129" s="36" t="n">
        <f aca="false">-ROUND(F191*F195*F196*F197,0)</f>
        <v>-224</v>
      </c>
      <c r="G129" s="36" t="n">
        <f aca="false">-ROUND(G191*G195*G196*G197,0)</f>
        <v>-224</v>
      </c>
      <c r="H129" s="36" t="n">
        <f aca="false">-ROUND(H191*H195*H196*H197,0)</f>
        <v>-224</v>
      </c>
      <c r="I129" s="36" t="n">
        <f aca="false">-ROUND(I191*I195*I196*I197,0)</f>
        <v>-224</v>
      </c>
      <c r="J129" s="36" t="n">
        <f aca="false">-ROUND(J191*J195*J196*J197,0)</f>
        <v>-224</v>
      </c>
      <c r="K129" s="36" t="n">
        <f aca="false">-ROUND(K191*K195*K196*K197,0)</f>
        <v>-224</v>
      </c>
      <c r="L129" s="36" t="n">
        <f aca="false">-ROUND(L191*L195*L196*L197,0)</f>
        <v>-224</v>
      </c>
    </row>
    <row r="130" customFormat="false" ht="15" hidden="false" customHeight="false" outlineLevel="0" collapsed="false">
      <c r="B130" s="4" t="s">
        <v>563</v>
      </c>
      <c r="C130" s="36" t="n">
        <f aca="false">-ROUND(C194/(1-C194)*C137,0)</f>
        <v>-1027</v>
      </c>
      <c r="D130" s="36" t="n">
        <f aca="false">-ROUND(D194/(1-D194)*D137,0)</f>
        <v>-1414</v>
      </c>
      <c r="E130" s="36" t="n">
        <f aca="false">-ROUND(E194/(1-E194)*E137,0)</f>
        <v>-1801</v>
      </c>
      <c r="F130" s="36" t="n">
        <f aca="false">-ROUND(F194/(1-F194)*F137,0)</f>
        <v>-2188</v>
      </c>
      <c r="G130" s="36" t="n">
        <f aca="false">-ROUND(G194/(1-G194)*G137,0)</f>
        <v>-2574</v>
      </c>
      <c r="H130" s="36" t="n">
        <f aca="false">-ROUND(H194/(1-H194)*H137,0)</f>
        <v>-2961</v>
      </c>
      <c r="I130" s="36" t="n">
        <f aca="false">-ROUND(I194/(1-I194)*I137,0)</f>
        <v>-3735</v>
      </c>
      <c r="J130" s="36" t="n">
        <f aca="false">-ROUND(J194/(1-J194)*J137,0)</f>
        <v>-4508</v>
      </c>
      <c r="K130" s="36" t="n">
        <f aca="false">-ROUND(K194/(1-K194)*K137,0)</f>
        <v>-6442</v>
      </c>
      <c r="L130" s="36" t="n">
        <f aca="false">-ROUND(L194/(1-L194)*L137,0)</f>
        <v>-8376</v>
      </c>
    </row>
    <row r="131" customFormat="false" ht="15" hidden="false" customHeight="false" outlineLevel="0" collapsed="false">
      <c r="B131" s="25" t="s">
        <v>565</v>
      </c>
      <c r="C131" s="54" t="n">
        <f aca="false">SUM(C124:C130)</f>
        <v>-313.992171620754</v>
      </c>
      <c r="D131" s="54" t="n">
        <f aca="false">SUM(D124:D130)</f>
        <v>25543.1578283793</v>
      </c>
      <c r="E131" s="54" t="n">
        <f aca="false">SUM(E124:E130)</f>
        <v>51400.4578283792</v>
      </c>
      <c r="F131" s="54" t="n">
        <f aca="false">SUM(F124:F130)</f>
        <v>77258.0078283793</v>
      </c>
      <c r="G131" s="54" t="n">
        <f aca="false">SUM(G124:G130)</f>
        <v>103116.257828379</v>
      </c>
      <c r="H131" s="54" t="n">
        <f aca="false">SUM(H124:H130)</f>
        <v>128973.307828379</v>
      </c>
      <c r="I131" s="54" t="n">
        <f aca="false">SUM(I124:I130)</f>
        <v>180688.107828379</v>
      </c>
      <c r="J131" s="54" t="n">
        <f aca="false">SUM(J124:J130)</f>
        <v>232403.307828379</v>
      </c>
      <c r="K131" s="54" t="n">
        <f aca="false">SUM(K124:K130)</f>
        <v>361690.757828379</v>
      </c>
      <c r="L131" s="54" t="n">
        <f aca="false">SUM(L124:L130)</f>
        <v>490978.307828379</v>
      </c>
    </row>
    <row r="132" customFormat="false" ht="15" hidden="false" customHeight="false" outlineLevel="0" collapsed="false">
      <c r="B132" s="4" t="s">
        <v>566</v>
      </c>
      <c r="C132" s="36" t="n">
        <f aca="false">-SUM(C125:C130)</f>
        <v>28712.3</v>
      </c>
      <c r="D132" s="36" t="n">
        <f aca="false">-SUM(D125:D130)</f>
        <v>34355.15</v>
      </c>
      <c r="E132" s="36" t="n">
        <f aca="false">-SUM(E125:E130)</f>
        <v>39997.85</v>
      </c>
      <c r="F132" s="36" t="n">
        <f aca="false">-SUM(F125:F130)</f>
        <v>45640.3</v>
      </c>
      <c r="G132" s="36" t="n">
        <f aca="false">-SUM(G125:G130)</f>
        <v>51282.05</v>
      </c>
      <c r="H132" s="36" t="n">
        <f aca="false">-SUM(H125:H130)</f>
        <v>56925</v>
      </c>
      <c r="I132" s="36" t="n">
        <f aca="false">-SUM(I125:I130)</f>
        <v>68210.2</v>
      </c>
      <c r="J132" s="36" t="n">
        <f aca="false">-SUM(J125:J130)</f>
        <v>79495</v>
      </c>
      <c r="K132" s="36" t="n">
        <f aca="false">-SUM(K125:K130)</f>
        <v>107707.55</v>
      </c>
      <c r="L132" s="36" t="n">
        <f aca="false">-SUM(L125:L130)</f>
        <v>135920</v>
      </c>
    </row>
    <row r="133" customFormat="false" ht="15" hidden="false" customHeight="false" outlineLevel="0" collapsed="false">
      <c r="B133" s="4" t="s">
        <v>56</v>
      </c>
      <c r="C133" s="40" t="n">
        <f aca="false">IF(C124&lt;&gt;0,C131/C124,0)</f>
        <v>-0.0110567211792448</v>
      </c>
      <c r="D133" s="40" t="n">
        <f aca="false">IF(D124&lt;&gt;0,D131/D124,0)</f>
        <v>0.42644206079353</v>
      </c>
      <c r="E133" s="40" t="n">
        <f aca="false">IF(E124&lt;&gt;0,E131/E124,0)</f>
        <v>0.56237865940467</v>
      </c>
      <c r="F133" s="40" t="n">
        <f aca="false">IF(F124&lt;&gt;0,F131/F124,0)</f>
        <v>0.628633617447897</v>
      </c>
      <c r="G133" s="40" t="n">
        <f aca="false">IF(G124&lt;&gt;0,G131/G124,0)</f>
        <v>0.667858730310682</v>
      </c>
      <c r="H133" s="40" t="n">
        <f aca="false">IF(H124&lt;&gt;0,H131/H124,0)</f>
        <v>0.693784194891365</v>
      </c>
      <c r="I133" s="40" t="n">
        <f aca="false">IF(I124&lt;&gt;0,I131/I124,0)</f>
        <v>0.725951531791721</v>
      </c>
      <c r="J133" s="40" t="n">
        <f aca="false">IF(J124&lt;&gt;0,J131/J124,0)</f>
        <v>0.745125260366139</v>
      </c>
      <c r="K133" s="40" t="n">
        <f aca="false">IF(K124&lt;&gt;0,K131/K124,0)</f>
        <v>0.770541247798064</v>
      </c>
      <c r="L133" s="40" t="n">
        <f aca="false">IF(L124&lt;&gt;0,L131/L124,0)</f>
        <v>0.783186525944157</v>
      </c>
    </row>
    <row r="134" customFormat="false" ht="15" hidden="false" customHeight="false" outlineLevel="0" collapsed="false">
      <c r="B134" s="4" t="s">
        <v>567</v>
      </c>
      <c r="C134" s="38" t="n">
        <f aca="false">IF(C92&gt;0,C121/C92,0)</f>
        <v>0.0443606793489982</v>
      </c>
      <c r="D134" s="38" t="n">
        <f aca="false">IF(D92&gt;0,D121/D92,0)</f>
        <v>0.0444657743343482</v>
      </c>
      <c r="E134" s="38" t="n">
        <f aca="false">IF(E92&gt;0,E121/E92,0)</f>
        <v>0.0445009218194798</v>
      </c>
      <c r="F134" s="38" t="n">
        <f aca="false">IF(F92&gt;0,F121/F92,0)</f>
        <v>0.044518510308595</v>
      </c>
      <c r="G134" s="38" t="n">
        <f aca="false">IF(G92&gt;0,G121/G92,0)</f>
        <v>0.044529073737858</v>
      </c>
      <c r="H134" s="38" t="n">
        <f aca="false">IF(H92&gt;0,H121/H92,0)</f>
        <v>0.0445361183009028</v>
      </c>
      <c r="I134" s="38" t="n">
        <f aca="false">IF(I92&gt;0,I121/I92,0)</f>
        <v>0.0445449256134008</v>
      </c>
      <c r="J134" s="38" t="n">
        <f aca="false">IF(J92&gt;0,J121/J92,0)</f>
        <v>0.0445502138105265</v>
      </c>
      <c r="K134" s="38" t="n">
        <f aca="false">IF(K92&gt;0,K121/K92,0)</f>
        <v>0.0445572645554039</v>
      </c>
      <c r="L134" s="38" t="n">
        <f aca="false">IF(L92&gt;0,L121/L92,0)</f>
        <v>0.0445607907648241</v>
      </c>
    </row>
    <row r="135" customFormat="false" ht="15" hidden="false" customHeight="false" outlineLevel="0" collapsed="false">
      <c r="B135" s="4" t="s">
        <v>568</v>
      </c>
      <c r="C135" s="38" t="n">
        <f aca="false">IF(C82&gt;0,C121/C82,0)</f>
        <v>0.065</v>
      </c>
      <c r="D135" s="38" t="n">
        <f aca="false">IF(D82&gt;0,D121/D82,0)</f>
        <v>0.065</v>
      </c>
      <c r="E135" s="38" t="n">
        <f aca="false">IF(E82&gt;0,E121/E82,0)</f>
        <v>0.065</v>
      </c>
      <c r="F135" s="38" t="n">
        <f aca="false">IF(F82&gt;0,F121/F82,0)</f>
        <v>0.065</v>
      </c>
      <c r="G135" s="38" t="n">
        <f aca="false">IF(G82&gt;0,G121/G82,0)</f>
        <v>0.065</v>
      </c>
      <c r="H135" s="38" t="n">
        <f aca="false">IF(H82&gt;0,H121/H82,0)</f>
        <v>0.065</v>
      </c>
      <c r="I135" s="38" t="n">
        <f aca="false">IF(I82&gt;0,I121/I82,0)</f>
        <v>0.065</v>
      </c>
      <c r="J135" s="38" t="n">
        <f aca="false">IF(J82&gt;0,J121/J82,0)</f>
        <v>0.065</v>
      </c>
      <c r="K135" s="38" t="n">
        <f aca="false">IF(K82&gt;0,K121/K82,0)</f>
        <v>0.065</v>
      </c>
      <c r="L135" s="38" t="n">
        <f aca="false">IF(L82&gt;0,L121/L82,0)</f>
        <v>0.065</v>
      </c>
    </row>
    <row r="136" customFormat="false" ht="15" hidden="false" customHeight="false" outlineLevel="0" collapsed="false">
      <c r="B136" s="4" t="s">
        <v>569</v>
      </c>
      <c r="C136" s="38" t="n">
        <f aca="false">IF(C92&gt;0,C124/C92,0)</f>
        <v>0.0387620993116577</v>
      </c>
      <c r="D136" s="38" t="n">
        <f aca="false">IF(D92&gt;0,D124/D92,0)</f>
        <v>0.0409757636754775</v>
      </c>
      <c r="E136" s="38" t="n">
        <f aca="false">IF(E92&gt;0,E124/E92,0)</f>
        <v>0.0417159892420867</v>
      </c>
      <c r="F136" s="38" t="n">
        <f aca="false">IF(F92&gt;0,F124/F92,0)</f>
        <v>0.0420865352612814</v>
      </c>
      <c r="G136" s="38" t="n">
        <f aca="false">IF(G92&gt;0,G124/G92,0)</f>
        <v>0.0423090069802486</v>
      </c>
      <c r="H136" s="38" t="n">
        <f aca="false">IF(H92&gt;0,H124/H92,0)</f>
        <v>0.0424573796378581</v>
      </c>
      <c r="I136" s="38" t="n">
        <f aca="false">IF(I92&gt;0,I124/I92,0)</f>
        <v>0.0426429100289095</v>
      </c>
      <c r="J136" s="38" t="n">
        <f aca="false">IF(J92&gt;0,J124/J92,0)</f>
        <v>0.0427542655412176</v>
      </c>
      <c r="K136" s="38" t="n">
        <f aca="false">IF(K92&gt;0,K124/K92,0)</f>
        <v>0.0429027786333703</v>
      </c>
      <c r="L136" s="38" t="n">
        <f aca="false">IF(L92&gt;0,L124/L92,0)</f>
        <v>0.0429770528091734</v>
      </c>
    </row>
    <row r="137" customFormat="false" ht="15" hidden="false" customHeight="false" outlineLevel="0" collapsed="false">
      <c r="B137" s="4" t="s">
        <v>570</v>
      </c>
      <c r="C137" s="36" t="n">
        <f aca="false">ROUND(C108+C188*ROUND((C185+IF(C186&gt;0,MAX(C187,C92*C186),0))*(1+C184),0),0)</f>
        <v>19520</v>
      </c>
      <c r="D137" s="36" t="n">
        <f aca="false">ROUND(D108+D188*ROUND((D185+IF(D186&gt;0,MAX(D187,D92*D186),0))*(1+D184),0),0)</f>
        <v>26868</v>
      </c>
      <c r="E137" s="36" t="n">
        <f aca="false">ROUND(E108+E188*ROUND((E185+IF(E186&gt;0,MAX(E187,E92*E186),0))*(1+E184),0),0)</f>
        <v>34216</v>
      </c>
      <c r="F137" s="36" t="n">
        <f aca="false">ROUND(F108+F188*ROUND((F185+IF(F186&gt;0,MAX(F187,F92*F186),0))*(1+F184),0),0)</f>
        <v>41564</v>
      </c>
      <c r="G137" s="36" t="n">
        <f aca="false">ROUND(G108+G188*ROUND((G185+IF(G186&gt;0,MAX(G187,G92*G186),0))*(1+G184),0),0)</f>
        <v>48913</v>
      </c>
      <c r="H137" s="36" t="n">
        <f aca="false">ROUND(H108+H188*ROUND((H185+IF(H186&gt;0,MAX(H187,H92*H186),0))*(1+H184),0),0)</f>
        <v>56261</v>
      </c>
      <c r="I137" s="36" t="n">
        <f aca="false">ROUND(I108+I188*ROUND((I185+IF(I186&gt;0,MAX(I187,I92*I186),0))*(1+I184),0),0)</f>
        <v>70958</v>
      </c>
      <c r="J137" s="36" t="n">
        <f aca="false">ROUND(J108+J188*ROUND((J185+IF(J186&gt;0,MAX(J187,J92*J186),0))*(1+J184),0),0)</f>
        <v>85654</v>
      </c>
      <c r="K137" s="36" t="n">
        <f aca="false">ROUND(K108+K188*ROUND((K185+IF(K186&gt;0,MAX(K187,K92*K186),0))*(1+K184),0),0)</f>
        <v>122396</v>
      </c>
      <c r="L137" s="36" t="n">
        <f aca="false">ROUND(L108+L188*ROUND((L185+IF(L186&gt;0,MAX(L187,L92*L186),0))*(1+L184),0),0)</f>
        <v>159137</v>
      </c>
    </row>
    <row r="138" customFormat="false" ht="15" hidden="false" customHeight="false" outlineLevel="0" collapsed="false">
      <c r="B138" s="4" t="s">
        <v>572</v>
      </c>
      <c r="C138" s="36" t="n">
        <f aca="false">ROUND((C185+IF(C186&gt;0,MAX(C187,1*C186),0))*(1+C184),0)</f>
        <v>4995</v>
      </c>
      <c r="D138" s="36" t="n">
        <f aca="false">ROUND((D185+IF(D186&gt;0,MAX(D187,1*D186),0))*(1+D184),0)</f>
        <v>4995</v>
      </c>
      <c r="E138" s="36" t="n">
        <f aca="false">ROUND((E185+IF(E186&gt;0,MAX(E187,1*E186),0))*(1+E184),0)</f>
        <v>4995</v>
      </c>
      <c r="F138" s="36" t="n">
        <f aca="false">ROUND((F185+IF(F186&gt;0,MAX(F187,1*F186),0))*(1+F184),0)</f>
        <v>4995</v>
      </c>
      <c r="G138" s="36" t="n">
        <f aca="false">ROUND((G185+IF(G186&gt;0,MAX(G187,1*G186),0))*(1+G184),0)</f>
        <v>4995</v>
      </c>
      <c r="H138" s="36" t="n">
        <f aca="false">ROUND((H185+IF(H186&gt;0,MAX(H187,1*H186),0))*(1+H184),0)</f>
        <v>4995</v>
      </c>
      <c r="I138" s="36" t="n">
        <f aca="false">ROUND((I185+IF(I186&gt;0,MAX(I187,1*I186),0))*(1+I184),0)</f>
        <v>4995</v>
      </c>
      <c r="J138" s="36" t="n">
        <f aca="false">ROUND((J185+IF(J186&gt;0,MAX(J187,1*J186),0))*(1+J184),0)</f>
        <v>4995</v>
      </c>
      <c r="K138" s="36" t="n">
        <f aca="false">ROUND((K185+IF(K186&gt;0,MAX(K187,1*K186),0))*(1+K184),0)</f>
        <v>4995</v>
      </c>
      <c r="L138" s="36" t="n">
        <f aca="false">ROUND((L185+IF(L186&gt;0,MAX(L187,1*L186),0))*(1+L184),0)</f>
        <v>4995</v>
      </c>
    </row>
    <row r="139" customFormat="false" ht="15" hidden="false" customHeight="false" outlineLevel="0" collapsed="false">
      <c r="B139" s="4" t="s">
        <v>574</v>
      </c>
      <c r="C139" s="36" t="n">
        <f aca="false">C86+C127</f>
        <v>4500</v>
      </c>
      <c r="D139" s="36" t="n">
        <f aca="false">D86+D127</f>
        <v>9000</v>
      </c>
      <c r="E139" s="36" t="n">
        <f aca="false">E86+E127</f>
        <v>13500</v>
      </c>
      <c r="F139" s="36" t="n">
        <f aca="false">F86+F127</f>
        <v>18000</v>
      </c>
      <c r="G139" s="36" t="n">
        <f aca="false">G86+G127</f>
        <v>22500</v>
      </c>
      <c r="H139" s="36" t="n">
        <f aca="false">H86+H127</f>
        <v>27000</v>
      </c>
      <c r="I139" s="36" t="n">
        <f aca="false">I86+I127</f>
        <v>36000</v>
      </c>
      <c r="J139" s="36" t="n">
        <f aca="false">J86+J127</f>
        <v>45000</v>
      </c>
      <c r="K139" s="36" t="n">
        <f aca="false">K86+K127</f>
        <v>67500</v>
      </c>
      <c r="L139" s="36" t="n">
        <f aca="false">L86+L127</f>
        <v>90000</v>
      </c>
    </row>
    <row r="140" customFormat="false" ht="15" hidden="false" customHeight="false" outlineLevel="0" collapsed="false">
      <c r="A140" s="7" t="s">
        <v>576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B141" s="4" t="s">
        <v>577</v>
      </c>
      <c r="C141" s="52" t="n">
        <f aca="false">IF(C201&gt;0,1+C200*(1-C201)*(1-(1-C201)^11)/C201,1+11*C200)</f>
        <v>1.6904170154314</v>
      </c>
      <c r="D141" s="52" t="n">
        <f aca="false">IF(D201&gt;0,1+D200*(1-D201)*(1-(1-D201)^11)/D201,1+11*D200)</f>
        <v>1.6904170154314</v>
      </c>
      <c r="E141" s="52" t="n">
        <f aca="false">IF(E201&gt;0,1+E200*(1-E201)*(1-(1-E201)^11)/E201,1+11*E200)</f>
        <v>1.6904170154314</v>
      </c>
      <c r="F141" s="52" t="n">
        <f aca="false">IF(F201&gt;0,1+F200*(1-F201)*(1-(1-F201)^11)/F201,1+11*F200)</f>
        <v>1.6904170154314</v>
      </c>
      <c r="G141" s="52" t="n">
        <f aca="false">IF(G201&gt;0,1+G200*(1-G201)*(1-(1-G201)^11)/G201,1+11*G200)</f>
        <v>1.6904170154314</v>
      </c>
      <c r="H141" s="52" t="n">
        <f aca="false">IF(H201&gt;0,1+H200*(1-H201)*(1-(1-H201)^11)/H201,1+11*H200)</f>
        <v>1.6904170154314</v>
      </c>
      <c r="I141" s="52" t="n">
        <f aca="false">IF(I201&gt;0,1+I200*(1-I201)*(1-(1-I201)^11)/I201,1+11*I200)</f>
        <v>1.6904170154314</v>
      </c>
      <c r="J141" s="52" t="n">
        <f aca="false">IF(J201&gt;0,1+J200*(1-J201)*(1-(1-J201)^11)/J201,1+11*J200)</f>
        <v>1.6904170154314</v>
      </c>
      <c r="K141" s="52" t="n">
        <f aca="false">IF(K201&gt;0,1+K200*(1-K201)*(1-(1-K201)^11)/K201,1+11*K200)</f>
        <v>1.6904170154314</v>
      </c>
      <c r="L141" s="52" t="n">
        <f aca="false">IF(L201&gt;0,1+L200*(1-L201)*(1-(1-L201)^11)/L201,1+11*L200)</f>
        <v>1.6904170154314</v>
      </c>
    </row>
    <row r="142" customFormat="false" ht="15" hidden="false" customHeight="false" outlineLevel="0" collapsed="false">
      <c r="B142" s="4" t="s">
        <v>578</v>
      </c>
      <c r="C142" s="36" t="n">
        <f aca="false">C141*C131</f>
        <v>-530.777709619977</v>
      </c>
      <c r="D142" s="36" t="n">
        <f aca="false">D141*D131</f>
        <v>43178.588620942</v>
      </c>
      <c r="E142" s="36" t="n">
        <f aca="false">E141*E131</f>
        <v>86888.2085140562</v>
      </c>
      <c r="F142" s="36" t="n">
        <f aca="false">F141*F131</f>
        <v>130598.251011424</v>
      </c>
      <c r="G142" s="36" t="n">
        <f aca="false">G141*G131</f>
        <v>174309.476800703</v>
      </c>
      <c r="H142" s="36" t="n">
        <f aca="false">H141*H131</f>
        <v>218018.674089564</v>
      </c>
      <c r="I142" s="36" t="n">
        <f aca="false">I141*I131</f>
        <v>305438.251959195</v>
      </c>
      <c r="J142" s="36" t="n">
        <f aca="false">J141*J131</f>
        <v>392858.505995633</v>
      </c>
      <c r="K142" s="36" t="n">
        <f aca="false">K141*K131</f>
        <v>611408.211357369</v>
      </c>
      <c r="L142" s="36" t="n">
        <f aca="false">L141*L131</f>
        <v>829958.085760807</v>
      </c>
    </row>
    <row r="143" customFormat="false" ht="15" hidden="false" customHeight="false" outlineLevel="0" collapsed="false">
      <c r="B143" s="4" t="s">
        <v>579</v>
      </c>
      <c r="C143" s="36" t="n">
        <f aca="false">C202*C142</f>
        <v>-175.156644174593</v>
      </c>
      <c r="D143" s="36" t="n">
        <f aca="false">D202*D142</f>
        <v>14248.9342449109</v>
      </c>
      <c r="E143" s="36" t="n">
        <f aca="false">E202*E142</f>
        <v>28673.1088096386</v>
      </c>
      <c r="F143" s="36" t="n">
        <f aca="false">F202*F142</f>
        <v>43097.4228337701</v>
      </c>
      <c r="G143" s="36" t="n">
        <f aca="false">G202*G142</f>
        <v>57522.1273442321</v>
      </c>
      <c r="H143" s="36" t="n">
        <f aca="false">H202*H142</f>
        <v>71946.162449556</v>
      </c>
      <c r="I143" s="36" t="n">
        <f aca="false">I202*I142</f>
        <v>100794.623146534</v>
      </c>
      <c r="J143" s="36" t="n">
        <f aca="false">J202*J142</f>
        <v>129643.306978559</v>
      </c>
      <c r="K143" s="36" t="n">
        <f aca="false">K202*K142</f>
        <v>201764.709747932</v>
      </c>
      <c r="L143" s="36" t="n">
        <f aca="false">L202*L142</f>
        <v>273886.168301066</v>
      </c>
    </row>
    <row r="144" customFormat="false" ht="15" hidden="false" customHeight="false" outlineLevel="0" collapsed="false">
      <c r="B144" s="4" t="s">
        <v>580</v>
      </c>
      <c r="C144" s="36" t="n">
        <f aca="false">C203+ROUND(C204*C205*C197,0)</f>
        <v>265817</v>
      </c>
      <c r="D144" s="36" t="n">
        <f aca="false">D203+ROUND(D204*D205*D197,0)</f>
        <v>265817</v>
      </c>
      <c r="E144" s="36" t="n">
        <f aca="false">E203+ROUND(E204*E205*E197,0)</f>
        <v>265817</v>
      </c>
      <c r="F144" s="36" t="n">
        <f aca="false">F203+ROUND(F204*F205*F197,0)</f>
        <v>265817</v>
      </c>
      <c r="G144" s="36" t="n">
        <f aca="false">G203+ROUND(G204*G205*G197,0)</f>
        <v>265817</v>
      </c>
      <c r="H144" s="36" t="n">
        <f aca="false">H203+ROUND(H204*H205*H197,0)</f>
        <v>265817</v>
      </c>
      <c r="I144" s="36" t="n">
        <f aca="false">I203+ROUND(I204*I205*I197,0)</f>
        <v>265817</v>
      </c>
      <c r="J144" s="36" t="n">
        <f aca="false">J203+ROUND(J204*J205*J197,0)</f>
        <v>265817</v>
      </c>
      <c r="K144" s="36" t="n">
        <f aca="false">K203+ROUND(K204*K205*K197,0)</f>
        <v>265817</v>
      </c>
      <c r="L144" s="36" t="n">
        <f aca="false">L203+ROUND(L204*L205*L197,0)</f>
        <v>265817</v>
      </c>
    </row>
    <row r="145" customFormat="false" ht="15" hidden="false" customHeight="false" outlineLevel="0" collapsed="false">
      <c r="B145" s="4" t="s">
        <v>581</v>
      </c>
      <c r="C145" s="52" t="n">
        <f aca="false">IF(C142&gt;0,C144/C142,0)</f>
        <v>0</v>
      </c>
      <c r="D145" s="52" t="n">
        <f aca="false">IF(D142&gt;0,D144/D142,0)</f>
        <v>6.15622252810451</v>
      </c>
      <c r="E145" s="52" t="n">
        <f aca="false">IF(E142&gt;0,E144/E142,0)</f>
        <v>3.05929889159814</v>
      </c>
      <c r="F145" s="52" t="n">
        <f aca="false">IF(F142&gt;0,F144/F142,0)</f>
        <v>2.03537947821941</v>
      </c>
      <c r="G145" s="52" t="n">
        <f aca="false">IF(G142&gt;0,G144/G142,0)</f>
        <v>1.52497159006404</v>
      </c>
      <c r="H145" s="52" t="n">
        <f aca="false">IF(H142&gt;0,H144/H142,0)</f>
        <v>1.21923959546144</v>
      </c>
      <c r="I145" s="52" t="n">
        <f aca="false">IF(I142&gt;0,I144/I142,0)</f>
        <v>0.870280648526994</v>
      </c>
      <c r="J145" s="52" t="n">
        <f aca="false">IF(J142&gt;0,J144/J142,0)</f>
        <v>0.676622743158716</v>
      </c>
      <c r="K145" s="52" t="n">
        <f aca="false">IF(K142&gt;0,K144/K142,0)</f>
        <v>0.434761907122359</v>
      </c>
      <c r="L145" s="52" t="n">
        <f aca="false">IF(L142&gt;0,L144/L142,0)</f>
        <v>0.32027761950934</v>
      </c>
    </row>
    <row r="146" customFormat="false" ht="23.85" hidden="false" customHeight="false" outlineLevel="0" collapsed="false">
      <c r="B146" s="4" t="s">
        <v>582</v>
      </c>
      <c r="C146" s="34" t="str">
        <f aca="false">IF(C142&lt;=0,"LTV negatif",IF(C145&lt;=C202,"Lolos","Melewati guardrail"))</f>
        <v>LTV negatif</v>
      </c>
      <c r="D146" s="34" t="str">
        <f aca="false">IF(D142&lt;=0,"LTV negatif",IF(D145&lt;=D202,"Lolos","Melewati guardrail"))</f>
        <v>Melewati guardrail</v>
      </c>
      <c r="E146" s="34" t="str">
        <f aca="false">IF(E142&lt;=0,"LTV negatif",IF(E145&lt;=E202,"Lolos","Melewati guardrail"))</f>
        <v>Melewati guardrail</v>
      </c>
      <c r="F146" s="34" t="str">
        <f aca="false">IF(F142&lt;=0,"LTV negatif",IF(F145&lt;=F202,"Lolos","Melewati guardrail"))</f>
        <v>Melewati guardrail</v>
      </c>
      <c r="G146" s="34" t="str">
        <f aca="false">IF(G142&lt;=0,"LTV negatif",IF(G145&lt;=G202,"Lolos","Melewati guardrail"))</f>
        <v>Melewati guardrail</v>
      </c>
      <c r="H146" s="34" t="str">
        <f aca="false">IF(H142&lt;=0,"LTV negatif",IF(H145&lt;=H202,"Lolos","Melewati guardrail"))</f>
        <v>Melewati guardrail</v>
      </c>
      <c r="I146" s="34" t="str">
        <f aca="false">IF(I142&lt;=0,"LTV negatif",IF(I145&lt;=I202,"Lolos","Melewati guardrail"))</f>
        <v>Melewati guardrail</v>
      </c>
      <c r="J146" s="34" t="str">
        <f aca="false">IF(J142&lt;=0,"LTV negatif",IF(J145&lt;=J202,"Lolos","Melewati guardrail"))</f>
        <v>Melewati guardrail</v>
      </c>
      <c r="K146" s="34" t="str">
        <f aca="false">IF(K142&lt;=0,"LTV negatif",IF(K145&lt;=K202,"Lolos","Melewati guardrail"))</f>
        <v>Melewati guardrail</v>
      </c>
      <c r="L146" s="34" t="str">
        <f aca="false">IF(L142&lt;=0,"LTV negatif",IF(L145&lt;=L202,"Lolos","Melewati guardrail"))</f>
        <v>Lolos</v>
      </c>
    </row>
    <row r="147" customFormat="false" ht="15" hidden="false" customHeight="false" outlineLevel="0" collapsed="false">
      <c r="A147" s="7" t="s">
        <v>583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customFormat="false" ht="15" hidden="false" customHeight="false" outlineLevel="0" collapsed="false">
      <c r="B148" s="4" t="s">
        <v>584</v>
      </c>
      <c r="C148" s="34" t="str">
        <f aca="false">IF(C82&gt;=C206,"OK","Di bawah minimum")</f>
        <v>OK</v>
      </c>
      <c r="D148" s="34" t="str">
        <f aca="false">IF(D82&gt;=D206,"OK","Di bawah minimum")</f>
        <v>OK</v>
      </c>
      <c r="E148" s="34" t="str">
        <f aca="false">IF(E82&gt;=E206,"OK","Di bawah minimum")</f>
        <v>OK</v>
      </c>
      <c r="F148" s="34" t="str">
        <f aca="false">IF(F82&gt;=F206,"OK","Di bawah minimum")</f>
        <v>OK</v>
      </c>
      <c r="G148" s="34" t="str">
        <f aca="false">IF(G82&gt;=G206,"OK","Di bawah minimum")</f>
        <v>OK</v>
      </c>
      <c r="H148" s="34" t="str">
        <f aca="false">IF(H82&gt;=H206,"OK","Di bawah minimum")</f>
        <v>OK</v>
      </c>
      <c r="I148" s="34" t="str">
        <f aca="false">IF(I82&gt;=I206,"OK","Di bawah minimum")</f>
        <v>OK</v>
      </c>
      <c r="J148" s="34" t="str">
        <f aca="false">IF(J82&gt;=J206,"OK","Di bawah minimum")</f>
        <v>OK</v>
      </c>
      <c r="K148" s="34" t="str">
        <f aca="false">IF(K82&gt;=K206,"OK","Di bawah minimum")</f>
        <v>OK</v>
      </c>
      <c r="L148" s="34" t="str">
        <f aca="false">IF(L82&gt;=L206,"OK","Di bawah minimum")</f>
        <v>OK</v>
      </c>
    </row>
    <row r="149" customFormat="false" ht="35.05" hidden="false" customHeight="false" outlineLevel="0" collapsed="false">
      <c r="B149" s="4" t="s">
        <v>585</v>
      </c>
      <c r="C149" s="34" t="str">
        <f aca="false">IF(C92&lt;=C207,"OK","Butuh traveler ≥ 3 transaksi selesai")</f>
        <v>OK</v>
      </c>
      <c r="D149" s="34" t="str">
        <f aca="false">IF(D92&lt;=D207,"OK","Butuh traveler ≥ 3 transaksi selesai")</f>
        <v>OK</v>
      </c>
      <c r="E149" s="34" t="str">
        <f aca="false">IF(E92&lt;=E207,"OK","Butuh traveler ≥ 3 transaksi selesai")</f>
        <v>OK</v>
      </c>
      <c r="F149" s="34" t="str">
        <f aca="false">IF(F92&lt;=F207,"OK","Butuh traveler ≥ 3 transaksi selesai")</f>
        <v>OK</v>
      </c>
      <c r="G149" s="34" t="str">
        <f aca="false">IF(G92&lt;=G207,"OK","Butuh traveler ≥ 3 transaksi selesai")</f>
        <v>OK</v>
      </c>
      <c r="H149" s="34" t="str">
        <f aca="false">IF(H92&lt;=H207,"OK","Butuh traveler ≥ 3 transaksi selesai")</f>
        <v>OK</v>
      </c>
      <c r="I149" s="34" t="str">
        <f aca="false">IF(I92&lt;=I207,"OK","Butuh traveler ≥ 3 transaksi selesai")</f>
        <v>Butuh traveler ≥ 3 transaksi selesai</v>
      </c>
      <c r="J149" s="34" t="str">
        <f aca="false">IF(J92&lt;=J207,"OK","Butuh traveler ≥ 3 transaksi selesai")</f>
        <v>Butuh traveler ≥ 3 transaksi selesai</v>
      </c>
      <c r="K149" s="34" t="str">
        <f aca="false">IF(K92&lt;=K207,"OK","Butuh traveler ≥ 3 transaksi selesai")</f>
        <v>Butuh traveler ≥ 3 transaksi selesai</v>
      </c>
      <c r="L149" s="34" t="str">
        <f aca="false">IF(L92&lt;=L207,"OK","Butuh traveler ≥ 3 transaksi selesai")</f>
        <v>Butuh traveler ≥ 3 transaksi selesai</v>
      </c>
    </row>
    <row r="150" customFormat="false" ht="23.85" hidden="false" customHeight="false" outlineLevel="0" collapsed="false">
      <c r="B150" s="4" t="s">
        <v>586</v>
      </c>
      <c r="C150" s="34" t="str">
        <f aca="false">IF(C92&lt;=C208,"OK","QRIS tidak tersedia")</f>
        <v>OK</v>
      </c>
      <c r="D150" s="34" t="str">
        <f aca="false">IF(D92&lt;=D208,"OK","QRIS tidak tersedia")</f>
        <v>OK</v>
      </c>
      <c r="E150" s="34" t="str">
        <f aca="false">IF(E92&lt;=E208,"OK","QRIS tidak tersedia")</f>
        <v>OK</v>
      </c>
      <c r="F150" s="34" t="str">
        <f aca="false">IF(F92&lt;=F208,"OK","QRIS tidak tersedia")</f>
        <v>OK</v>
      </c>
      <c r="G150" s="34" t="str">
        <f aca="false">IF(G92&lt;=G208,"OK","QRIS tidak tersedia")</f>
        <v>OK</v>
      </c>
      <c r="H150" s="34" t="str">
        <f aca="false">IF(H92&lt;=H208,"OK","QRIS tidak tersedia")</f>
        <v>OK</v>
      </c>
      <c r="I150" s="34" t="str">
        <f aca="false">IF(I92&lt;=I208,"OK","QRIS tidak tersedia")</f>
        <v>OK</v>
      </c>
      <c r="J150" s="34" t="str">
        <f aca="false">IF(J92&lt;=J208,"OK","QRIS tidak tersedia")</f>
        <v>OK</v>
      </c>
      <c r="K150" s="34" t="str">
        <f aca="false">IF(K92&lt;=K208,"OK","QRIS tidak tersedia")</f>
        <v>QRIS tidak tersedia</v>
      </c>
      <c r="L150" s="34" t="str">
        <f aca="false">IF(L92&lt;=L208,"OK","QRIS tidak tersedia")</f>
        <v>QRIS tidak tersedia</v>
      </c>
    </row>
    <row r="151" customFormat="false" ht="15" hidden="false" customHeight="false" outlineLevel="0" collapsed="false">
      <c r="B151" s="4" t="s">
        <v>587</v>
      </c>
      <c r="C151" s="34" t="str">
        <f aca="false">IF(C92&lt;=C209,"Level 2",IF(C92&lt;=C210,"Level 3",IF(C92&lt;=C211,"Level 4","Level 5")))</f>
        <v>Level 2</v>
      </c>
      <c r="D151" s="34" t="str">
        <f aca="false">IF(D92&lt;=D209,"Level 2",IF(D92&lt;=D210,"Level 3",IF(D92&lt;=D211,"Level 4","Level 5")))</f>
        <v>Level 2</v>
      </c>
      <c r="E151" s="34" t="str">
        <f aca="false">IF(E92&lt;=E209,"Level 2",IF(E92&lt;=E210,"Level 3",IF(E92&lt;=E211,"Level 4","Level 5")))</f>
        <v>Level 2</v>
      </c>
      <c r="F151" s="34" t="str">
        <f aca="false">IF(F92&lt;=F209,"Level 2",IF(F92&lt;=F210,"Level 3",IF(F92&lt;=F211,"Level 4","Level 5")))</f>
        <v>Level 2</v>
      </c>
      <c r="G151" s="34" t="str">
        <f aca="false">IF(G92&lt;=G209,"Level 2",IF(G92&lt;=G210,"Level 3",IF(G92&lt;=G211,"Level 4","Level 5")))</f>
        <v>Level 3</v>
      </c>
      <c r="H151" s="34" t="str">
        <f aca="false">IF(H92&lt;=H209,"Level 2",IF(H92&lt;=H210,"Level 3",IF(H92&lt;=H211,"Level 4","Level 5")))</f>
        <v>Level 3</v>
      </c>
      <c r="I151" s="34" t="str">
        <f aca="false">IF(I92&lt;=I209,"Level 2",IF(I92&lt;=I210,"Level 3",IF(I92&lt;=I211,"Level 4","Level 5")))</f>
        <v>Level 3</v>
      </c>
      <c r="J151" s="34" t="str">
        <f aca="false">IF(J92&lt;=J209,"Level 2",IF(J92&lt;=J210,"Level 3",IF(J92&lt;=J211,"Level 4","Level 5")))</f>
        <v>Level 3</v>
      </c>
      <c r="K151" s="34" t="str">
        <f aca="false">IF(K92&lt;=K209,"Level 2",IF(K92&lt;=K210,"Level 3",IF(K92&lt;=K211,"Level 4","Level 5")))</f>
        <v>Level 3</v>
      </c>
      <c r="L151" s="34" t="str">
        <f aca="false">IF(L92&lt;=L209,"Level 2",IF(L92&lt;=L210,"Level 3",IF(L92&lt;=L211,"Level 4","Level 5")))</f>
        <v>Level 3</v>
      </c>
    </row>
    <row r="152" customFormat="false" ht="15" hidden="false" customHeight="false" outlineLevel="0" collapsed="false">
      <c r="B152" s="4" t="s">
        <v>588</v>
      </c>
      <c r="C152" s="34" t="str">
        <f aca="false">IF(ROUND(C82*C154,0)&lt;C155,"Naik ke minimum",IF(ROUND(C82*C154,0)&gt;ROUNDDOWN(C82*C156,0),"Dipotong ke maks","Normal"))</f>
        <v>Normal</v>
      </c>
      <c r="D152" s="34" t="str">
        <f aca="false">IF(ROUND(D82*D154,0)&lt;D155,"Naik ke minimum",IF(ROUND(D82*D154,0)&gt;ROUNDDOWN(D82*D156,0),"Dipotong ke maks","Normal"))</f>
        <v>Normal</v>
      </c>
      <c r="E152" s="34" t="str">
        <f aca="false">IF(ROUND(E82*E154,0)&lt;E155,"Naik ke minimum",IF(ROUND(E82*E154,0)&gt;ROUNDDOWN(E82*E156,0),"Dipotong ke maks","Normal"))</f>
        <v>Normal</v>
      </c>
      <c r="F152" s="34" t="str">
        <f aca="false">IF(ROUND(F82*F154,0)&lt;F155,"Naik ke minimum",IF(ROUND(F82*F154,0)&gt;ROUNDDOWN(F82*F156,0),"Dipotong ke maks","Normal"))</f>
        <v>Normal</v>
      </c>
      <c r="G152" s="34" t="str">
        <f aca="false">IF(ROUND(G82*G154,0)&lt;G155,"Naik ke minimum",IF(ROUND(G82*G154,0)&gt;ROUNDDOWN(G82*G156,0),"Dipotong ke maks","Normal"))</f>
        <v>Normal</v>
      </c>
      <c r="H152" s="34" t="str">
        <f aca="false">IF(ROUND(H82*H154,0)&lt;H155,"Naik ke minimum",IF(ROUND(H82*H154,0)&gt;ROUNDDOWN(H82*H156,0),"Dipotong ke maks","Normal"))</f>
        <v>Normal</v>
      </c>
      <c r="I152" s="34" t="str">
        <f aca="false">IF(ROUND(I82*I154,0)&lt;I155,"Naik ke minimum",IF(ROUND(I82*I154,0)&gt;ROUNDDOWN(I82*I156,0),"Dipotong ke maks","Normal"))</f>
        <v>Normal</v>
      </c>
      <c r="J152" s="34" t="str">
        <f aca="false">IF(ROUND(J82*J154,0)&lt;J155,"Naik ke minimum",IF(ROUND(J82*J154,0)&gt;ROUNDDOWN(J82*J156,0),"Dipotong ke maks","Normal"))</f>
        <v>Normal</v>
      </c>
      <c r="K152" s="34" t="str">
        <f aca="false">IF(ROUND(K82*K154,0)&lt;K155,"Naik ke minimum",IF(ROUND(K82*K154,0)&gt;ROUNDDOWN(K82*K156,0),"Dipotong ke maks","Normal"))</f>
        <v>Normal</v>
      </c>
      <c r="L152" s="34" t="str">
        <f aca="false">IF(ROUND(L82*L154,0)&lt;L155,"Naik ke minimum",IF(ROUND(L82*L154,0)&gt;ROUNDDOWN(L82*L156,0),"Dipotong ke maks","Normal"))</f>
        <v>Normal</v>
      </c>
    </row>
    <row r="153" customFormat="false" ht="15" hidden="false" customHeight="false" outlineLevel="0" collapsed="false">
      <c r="A153" s="7" t="s">
        <v>589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customFormat="false" ht="15" hidden="false" customHeight="false" outlineLevel="0" collapsed="false">
      <c r="B154" s="4" t="s">
        <v>590</v>
      </c>
      <c r="C154" s="11" t="n">
        <f aca="false">INDEX(Asumsi!$D$59:$F$59,C$79)</f>
        <v>0.1</v>
      </c>
      <c r="D154" s="11" t="n">
        <f aca="false">INDEX(Asumsi!$D$59:$F$59,D$79)</f>
        <v>0.1</v>
      </c>
      <c r="E154" s="11" t="n">
        <f aca="false">INDEX(Asumsi!$D$59:$F$59,E$79)</f>
        <v>0.1</v>
      </c>
      <c r="F154" s="11" t="n">
        <f aca="false">INDEX(Asumsi!$D$59:$F$59,F$79)</f>
        <v>0.1</v>
      </c>
      <c r="G154" s="11" t="n">
        <f aca="false">INDEX(Asumsi!$D$59:$F$59,G$79)</f>
        <v>0.1</v>
      </c>
      <c r="H154" s="11" t="n">
        <f aca="false">INDEX(Asumsi!$D$59:$F$59,H$79)</f>
        <v>0.1</v>
      </c>
      <c r="I154" s="11" t="n">
        <f aca="false">INDEX(Asumsi!$D$59:$F$59,I$79)</f>
        <v>0.1</v>
      </c>
      <c r="J154" s="11" t="n">
        <f aca="false">INDEX(Asumsi!$D$59:$F$59,J$79)</f>
        <v>0.1</v>
      </c>
      <c r="K154" s="11" t="n">
        <f aca="false">INDEX(Asumsi!$D$59:$F$59,K$79)</f>
        <v>0.1</v>
      </c>
      <c r="L154" s="11" t="n">
        <f aca="false">INDEX(Asumsi!$D$59:$F$59,L$79)</f>
        <v>0.1</v>
      </c>
    </row>
    <row r="155" customFormat="false" ht="15" hidden="false" customHeight="false" outlineLevel="0" collapsed="false">
      <c r="B155" s="4" t="s">
        <v>591</v>
      </c>
      <c r="C155" s="9" t="n">
        <f aca="false">INDEX(Asumsi!$D$24:$F$24,C$79)</f>
        <v>25000</v>
      </c>
      <c r="D155" s="9" t="n">
        <f aca="false">INDEX(Asumsi!$D$24:$F$24,D$79)</f>
        <v>25000</v>
      </c>
      <c r="E155" s="9" t="n">
        <f aca="false">INDEX(Asumsi!$D$24:$F$24,E$79)</f>
        <v>25000</v>
      </c>
      <c r="F155" s="9" t="n">
        <f aca="false">INDEX(Asumsi!$D$24:$F$24,F$79)</f>
        <v>25000</v>
      </c>
      <c r="G155" s="9" t="n">
        <f aca="false">INDEX(Asumsi!$D$24:$F$24,G$79)</f>
        <v>25000</v>
      </c>
      <c r="H155" s="9" t="n">
        <f aca="false">INDEX(Asumsi!$D$24:$F$24,H$79)</f>
        <v>25000</v>
      </c>
      <c r="I155" s="9" t="n">
        <f aca="false">INDEX(Asumsi!$D$24:$F$24,I$79)</f>
        <v>25000</v>
      </c>
      <c r="J155" s="9" t="n">
        <f aca="false">INDEX(Asumsi!$D$24:$F$24,J$79)</f>
        <v>25000</v>
      </c>
      <c r="K155" s="9" t="n">
        <f aca="false">INDEX(Asumsi!$D$24:$F$24,K$79)</f>
        <v>25000</v>
      </c>
      <c r="L155" s="9" t="n">
        <f aca="false">INDEX(Asumsi!$D$24:$F$24,L$79)</f>
        <v>25000</v>
      </c>
    </row>
    <row r="156" customFormat="false" ht="15" hidden="false" customHeight="false" outlineLevel="0" collapsed="false">
      <c r="B156" s="4" t="s">
        <v>592</v>
      </c>
      <c r="C156" s="11" t="n">
        <f aca="false">INDEX(Asumsi!$D$25:$F$25,C$79)</f>
        <v>0.3</v>
      </c>
      <c r="D156" s="11" t="n">
        <f aca="false">INDEX(Asumsi!$D$25:$F$25,D$79)</f>
        <v>0.3</v>
      </c>
      <c r="E156" s="11" t="n">
        <f aca="false">INDEX(Asumsi!$D$25:$F$25,E$79)</f>
        <v>0.3</v>
      </c>
      <c r="F156" s="11" t="n">
        <f aca="false">INDEX(Asumsi!$D$25:$F$25,F$79)</f>
        <v>0.3</v>
      </c>
      <c r="G156" s="11" t="n">
        <f aca="false">INDEX(Asumsi!$D$25:$F$25,G$79)</f>
        <v>0.3</v>
      </c>
      <c r="H156" s="11" t="n">
        <f aca="false">INDEX(Asumsi!$D$25:$F$25,H$79)</f>
        <v>0.3</v>
      </c>
      <c r="I156" s="11" t="n">
        <f aca="false">INDEX(Asumsi!$D$25:$F$25,I$79)</f>
        <v>0.3</v>
      </c>
      <c r="J156" s="11" t="n">
        <f aca="false">INDEX(Asumsi!$D$25:$F$25,J$79)</f>
        <v>0.3</v>
      </c>
      <c r="K156" s="11" t="n">
        <f aca="false">INDEX(Asumsi!$D$25:$F$25,K$79)</f>
        <v>0.3</v>
      </c>
      <c r="L156" s="11" t="n">
        <f aca="false">INDEX(Asumsi!$D$25:$F$25,L$79)</f>
        <v>0.3</v>
      </c>
    </row>
    <row r="157" customFormat="false" ht="15" hidden="false" customHeight="false" outlineLevel="0" collapsed="false">
      <c r="B157" s="4" t="s">
        <v>593</v>
      </c>
      <c r="C157" s="11" t="n">
        <f aca="false">INDEX(Asumsi!$D$60:$F$60,C$79)</f>
        <v>0.1</v>
      </c>
      <c r="D157" s="11" t="n">
        <f aca="false">INDEX(Asumsi!$D$60:$F$60,D$79)</f>
        <v>0.1</v>
      </c>
      <c r="E157" s="11" t="n">
        <f aca="false">INDEX(Asumsi!$D$60:$F$60,E$79)</f>
        <v>0.1</v>
      </c>
      <c r="F157" s="11" t="n">
        <f aca="false">INDEX(Asumsi!$D$60:$F$60,F$79)</f>
        <v>0.1</v>
      </c>
      <c r="G157" s="11" t="n">
        <f aca="false">INDEX(Asumsi!$D$60:$F$60,G$79)</f>
        <v>0.1</v>
      </c>
      <c r="H157" s="11" t="n">
        <f aca="false">INDEX(Asumsi!$D$60:$F$60,H$79)</f>
        <v>0.1</v>
      </c>
      <c r="I157" s="11" t="n">
        <f aca="false">INDEX(Asumsi!$D$60:$F$60,I$79)</f>
        <v>0.1</v>
      </c>
      <c r="J157" s="11" t="n">
        <f aca="false">INDEX(Asumsi!$D$60:$F$60,J$79)</f>
        <v>0.1</v>
      </c>
      <c r="K157" s="11" t="n">
        <f aca="false">INDEX(Asumsi!$D$60:$F$60,K$79)</f>
        <v>0.1</v>
      </c>
      <c r="L157" s="11" t="n">
        <f aca="false">INDEX(Asumsi!$D$60:$F$60,L$79)</f>
        <v>0.1</v>
      </c>
    </row>
    <row r="158" customFormat="false" ht="15" hidden="false" customHeight="false" outlineLevel="0" collapsed="false">
      <c r="B158" s="4" t="s">
        <v>594</v>
      </c>
      <c r="C158" s="11" t="n">
        <f aca="false">INDEX(Asumsi!$D$61:$F$61,C$79)</f>
        <v>0.12</v>
      </c>
      <c r="D158" s="11" t="n">
        <f aca="false">INDEX(Asumsi!$D$61:$F$61,D$79)</f>
        <v>0.12</v>
      </c>
      <c r="E158" s="11" t="n">
        <f aca="false">INDEX(Asumsi!$D$61:$F$61,E$79)</f>
        <v>0.12</v>
      </c>
      <c r="F158" s="11" t="n">
        <f aca="false">INDEX(Asumsi!$D$61:$F$61,F$79)</f>
        <v>0.12</v>
      </c>
      <c r="G158" s="11" t="n">
        <f aca="false">INDEX(Asumsi!$D$61:$F$61,G$79)</f>
        <v>0.12</v>
      </c>
      <c r="H158" s="11" t="n">
        <f aca="false">INDEX(Asumsi!$D$61:$F$61,H$79)</f>
        <v>0.12</v>
      </c>
      <c r="I158" s="11" t="n">
        <f aca="false">INDEX(Asumsi!$D$61:$F$61,I$79)</f>
        <v>0.12</v>
      </c>
      <c r="J158" s="11" t="n">
        <f aca="false">INDEX(Asumsi!$D$61:$F$61,J$79)</f>
        <v>0.12</v>
      </c>
      <c r="K158" s="11" t="n">
        <f aca="false">INDEX(Asumsi!$D$61:$F$61,K$79)</f>
        <v>0.12</v>
      </c>
      <c r="L158" s="11" t="n">
        <f aca="false">INDEX(Asumsi!$D$61:$F$61,L$79)</f>
        <v>0.12</v>
      </c>
    </row>
    <row r="159" customFormat="false" ht="15" hidden="false" customHeight="false" outlineLevel="0" collapsed="false">
      <c r="B159" s="4" t="s">
        <v>595</v>
      </c>
      <c r="C159" s="55" t="n">
        <f aca="false">INDEX(Asumsi!$D$62:$F$62,C$79)</f>
        <v>0.916667</v>
      </c>
      <c r="D159" s="55" t="n">
        <f aca="false">INDEX(Asumsi!$D$62:$F$62,D$79)</f>
        <v>0.916667</v>
      </c>
      <c r="E159" s="55" t="n">
        <f aca="false">INDEX(Asumsi!$D$62:$F$62,E$79)</f>
        <v>0.916667</v>
      </c>
      <c r="F159" s="55" t="n">
        <f aca="false">INDEX(Asumsi!$D$62:$F$62,F$79)</f>
        <v>0.916667</v>
      </c>
      <c r="G159" s="55" t="n">
        <f aca="false">INDEX(Asumsi!$D$62:$F$62,G$79)</f>
        <v>0.916667</v>
      </c>
      <c r="H159" s="55" t="n">
        <f aca="false">INDEX(Asumsi!$D$62:$F$62,H$79)</f>
        <v>0.916667</v>
      </c>
      <c r="I159" s="55" t="n">
        <f aca="false">INDEX(Asumsi!$D$62:$F$62,I$79)</f>
        <v>0.916667</v>
      </c>
      <c r="J159" s="55" t="n">
        <f aca="false">INDEX(Asumsi!$D$62:$F$62,J$79)</f>
        <v>0.916667</v>
      </c>
      <c r="K159" s="55" t="n">
        <f aca="false">INDEX(Asumsi!$D$62:$F$62,K$79)</f>
        <v>0.916667</v>
      </c>
      <c r="L159" s="55" t="n">
        <f aca="false">INDEX(Asumsi!$D$62:$F$62,L$79)</f>
        <v>0.916667</v>
      </c>
    </row>
    <row r="160" customFormat="false" ht="15" hidden="false" customHeight="false" outlineLevel="0" collapsed="false">
      <c r="B160" s="4" t="s">
        <v>596</v>
      </c>
      <c r="C160" s="11" t="n">
        <f aca="false">INDEX(Asumsi!$D$63:$F$63,C$79)</f>
        <v>0.05</v>
      </c>
      <c r="D160" s="11" t="n">
        <f aca="false">INDEX(Asumsi!$D$63:$F$63,D$79)</f>
        <v>0.05</v>
      </c>
      <c r="E160" s="11" t="n">
        <f aca="false">INDEX(Asumsi!$D$63:$F$63,E$79)</f>
        <v>0.05</v>
      </c>
      <c r="F160" s="11" t="n">
        <f aca="false">INDEX(Asumsi!$D$63:$F$63,F$79)</f>
        <v>0.05</v>
      </c>
      <c r="G160" s="11" t="n">
        <f aca="false">INDEX(Asumsi!$D$63:$F$63,G$79)</f>
        <v>0.05</v>
      </c>
      <c r="H160" s="11" t="n">
        <f aca="false">INDEX(Asumsi!$D$63:$F$63,H$79)</f>
        <v>0.05</v>
      </c>
      <c r="I160" s="11" t="n">
        <f aca="false">INDEX(Asumsi!$D$63:$F$63,I$79)</f>
        <v>0.05</v>
      </c>
      <c r="J160" s="11" t="n">
        <f aca="false">INDEX(Asumsi!$D$63:$F$63,J$79)</f>
        <v>0.05</v>
      </c>
      <c r="K160" s="11" t="n">
        <f aca="false">INDEX(Asumsi!$D$63:$F$63,K$79)</f>
        <v>0.05</v>
      </c>
      <c r="L160" s="11" t="n">
        <f aca="false">INDEX(Asumsi!$D$63:$F$63,L$79)</f>
        <v>0.05</v>
      </c>
    </row>
    <row r="161" customFormat="false" ht="15" hidden="false" customHeight="false" outlineLevel="0" collapsed="false">
      <c r="B161" s="4" t="s">
        <v>597</v>
      </c>
      <c r="C161" s="17" t="n">
        <f aca="false">INDEX(Asumsi!$D$18:$F$18,C$79)</f>
        <v>0.015</v>
      </c>
      <c r="D161" s="17" t="n">
        <f aca="false">INDEX(Asumsi!$D$18:$F$18,D$79)</f>
        <v>0.015</v>
      </c>
      <c r="E161" s="17" t="n">
        <f aca="false">INDEX(Asumsi!$D$18:$F$18,E$79)</f>
        <v>0.015</v>
      </c>
      <c r="F161" s="17" t="n">
        <f aca="false">INDEX(Asumsi!$D$18:$F$18,F$79)</f>
        <v>0.015</v>
      </c>
      <c r="G161" s="17" t="n">
        <f aca="false">INDEX(Asumsi!$D$18:$F$18,G$79)</f>
        <v>0.015</v>
      </c>
      <c r="H161" s="17" t="n">
        <f aca="false">INDEX(Asumsi!$D$18:$F$18,H$79)</f>
        <v>0.015</v>
      </c>
      <c r="I161" s="17" t="n">
        <f aca="false">INDEX(Asumsi!$D$18:$F$18,I$79)</f>
        <v>0.015</v>
      </c>
      <c r="J161" s="17" t="n">
        <f aca="false">INDEX(Asumsi!$D$18:$F$18,J$79)</f>
        <v>0.015</v>
      </c>
      <c r="K161" s="17" t="n">
        <f aca="false">INDEX(Asumsi!$D$18:$F$18,K$79)</f>
        <v>0.015</v>
      </c>
      <c r="L161" s="17" t="n">
        <f aca="false">INDEX(Asumsi!$D$18:$F$18,L$79)</f>
        <v>0.015</v>
      </c>
    </row>
    <row r="162" customFormat="false" ht="15" hidden="false" customHeight="false" outlineLevel="0" collapsed="false">
      <c r="B162" s="4" t="s">
        <v>598</v>
      </c>
      <c r="C162" s="9" t="n">
        <f aca="false">INDEX(Asumsi!$D$19:$F$19,C$79)</f>
        <v>5000</v>
      </c>
      <c r="D162" s="9" t="n">
        <f aca="false">INDEX(Asumsi!$D$19:$F$19,D$79)</f>
        <v>5000</v>
      </c>
      <c r="E162" s="9" t="n">
        <f aca="false">INDEX(Asumsi!$D$19:$F$19,E$79)</f>
        <v>5000</v>
      </c>
      <c r="F162" s="9" t="n">
        <f aca="false">INDEX(Asumsi!$D$19:$F$19,F$79)</f>
        <v>5000</v>
      </c>
      <c r="G162" s="9" t="n">
        <f aca="false">INDEX(Asumsi!$D$19:$F$19,G$79)</f>
        <v>5000</v>
      </c>
      <c r="H162" s="9" t="n">
        <f aca="false">INDEX(Asumsi!$D$19:$F$19,H$79)</f>
        <v>5000</v>
      </c>
      <c r="I162" s="9" t="n">
        <f aca="false">INDEX(Asumsi!$D$19:$F$19,I$79)</f>
        <v>5000</v>
      </c>
      <c r="J162" s="9" t="n">
        <f aca="false">INDEX(Asumsi!$D$19:$F$19,J$79)</f>
        <v>5000</v>
      </c>
      <c r="K162" s="9" t="n">
        <f aca="false">INDEX(Asumsi!$D$19:$F$19,K$79)</f>
        <v>5000</v>
      </c>
      <c r="L162" s="9" t="n">
        <f aca="false">INDEX(Asumsi!$D$19:$F$19,L$79)</f>
        <v>5000</v>
      </c>
    </row>
    <row r="163" customFormat="false" ht="15" hidden="false" customHeight="false" outlineLevel="0" collapsed="false">
      <c r="B163" s="4" t="s">
        <v>599</v>
      </c>
      <c r="C163" s="9" t="n">
        <f aca="false">INDEX(Asumsi!$D$20:$F$20,C$79)</f>
        <v>300000</v>
      </c>
      <c r="D163" s="9" t="n">
        <f aca="false">INDEX(Asumsi!$D$20:$F$20,D$79)</f>
        <v>300000</v>
      </c>
      <c r="E163" s="9" t="n">
        <f aca="false">INDEX(Asumsi!$D$20:$F$20,E$79)</f>
        <v>300000</v>
      </c>
      <c r="F163" s="9" t="n">
        <f aca="false">INDEX(Asumsi!$D$20:$F$20,F$79)</f>
        <v>300000</v>
      </c>
      <c r="G163" s="9" t="n">
        <f aca="false">INDEX(Asumsi!$D$20:$F$20,G$79)</f>
        <v>300000</v>
      </c>
      <c r="H163" s="9" t="n">
        <f aca="false">INDEX(Asumsi!$D$20:$F$20,H$79)</f>
        <v>300000</v>
      </c>
      <c r="I163" s="9" t="n">
        <f aca="false">INDEX(Asumsi!$D$20:$F$20,I$79)</f>
        <v>300000</v>
      </c>
      <c r="J163" s="9" t="n">
        <f aca="false">INDEX(Asumsi!$D$20:$F$20,J$79)</f>
        <v>300000</v>
      </c>
      <c r="K163" s="9" t="n">
        <f aca="false">INDEX(Asumsi!$D$20:$F$20,K$79)</f>
        <v>300000</v>
      </c>
      <c r="L163" s="9" t="n">
        <f aca="false">INDEX(Asumsi!$D$20:$F$20,L$79)</f>
        <v>300000</v>
      </c>
    </row>
    <row r="164" customFormat="false" ht="15" hidden="false" customHeight="false" outlineLevel="0" collapsed="false">
      <c r="B164" s="4" t="s">
        <v>600</v>
      </c>
      <c r="C164" s="17" t="n">
        <f aca="false">INDEX(Asumsi!$D$15:$F$15,C$79)</f>
        <v>0.05</v>
      </c>
      <c r="D164" s="17" t="n">
        <f aca="false">INDEX(Asumsi!$D$15:$F$15,D$79)</f>
        <v>0.05</v>
      </c>
      <c r="E164" s="17" t="n">
        <f aca="false">INDEX(Asumsi!$D$15:$F$15,E$79)</f>
        <v>0.05</v>
      </c>
      <c r="F164" s="17" t="n">
        <f aca="false">INDEX(Asumsi!$D$15:$F$15,F$79)</f>
        <v>0.05</v>
      </c>
      <c r="G164" s="17" t="n">
        <f aca="false">INDEX(Asumsi!$D$15:$F$15,G$79)</f>
        <v>0.05</v>
      </c>
      <c r="H164" s="17" t="n">
        <f aca="false">INDEX(Asumsi!$D$15:$F$15,H$79)</f>
        <v>0.05</v>
      </c>
      <c r="I164" s="17" t="n">
        <f aca="false">INDEX(Asumsi!$D$15:$F$15,I$79)</f>
        <v>0.05</v>
      </c>
      <c r="J164" s="17" t="n">
        <f aca="false">INDEX(Asumsi!$D$15:$F$15,J$79)</f>
        <v>0.05</v>
      </c>
      <c r="K164" s="17" t="n">
        <f aca="false">INDEX(Asumsi!$D$15:$F$15,K$79)</f>
        <v>0.05</v>
      </c>
      <c r="L164" s="17" t="n">
        <f aca="false">INDEX(Asumsi!$D$15:$F$15,L$79)</f>
        <v>0.05</v>
      </c>
    </row>
    <row r="165" customFormat="false" ht="15" hidden="false" customHeight="false" outlineLevel="0" collapsed="false">
      <c r="B165" s="4" t="s">
        <v>601</v>
      </c>
      <c r="C165" s="9" t="n">
        <f aca="false">INDEX(Asumsi!$D$16:$F$16,C$79)</f>
        <v>10000</v>
      </c>
      <c r="D165" s="9" t="n">
        <f aca="false">INDEX(Asumsi!$D$16:$F$16,D$79)</f>
        <v>10000</v>
      </c>
      <c r="E165" s="9" t="n">
        <f aca="false">INDEX(Asumsi!$D$16:$F$16,E$79)</f>
        <v>10000</v>
      </c>
      <c r="F165" s="9" t="n">
        <f aca="false">INDEX(Asumsi!$D$16:$F$16,F$79)</f>
        <v>10000</v>
      </c>
      <c r="G165" s="9" t="n">
        <f aca="false">INDEX(Asumsi!$D$16:$F$16,G$79)</f>
        <v>10000</v>
      </c>
      <c r="H165" s="9" t="n">
        <f aca="false">INDEX(Asumsi!$D$16:$F$16,H$79)</f>
        <v>10000</v>
      </c>
      <c r="I165" s="9" t="n">
        <f aca="false">INDEX(Asumsi!$D$16:$F$16,I$79)</f>
        <v>10000</v>
      </c>
      <c r="J165" s="9" t="n">
        <f aca="false">INDEX(Asumsi!$D$16:$F$16,J$79)</f>
        <v>10000</v>
      </c>
      <c r="K165" s="9" t="n">
        <f aca="false">INDEX(Asumsi!$D$16:$F$16,K$79)</f>
        <v>10000</v>
      </c>
      <c r="L165" s="9" t="n">
        <f aca="false">INDEX(Asumsi!$D$16:$F$16,L$79)</f>
        <v>10000</v>
      </c>
    </row>
    <row r="166" customFormat="false" ht="15" hidden="false" customHeight="false" outlineLevel="0" collapsed="false">
      <c r="B166" s="4" t="s">
        <v>602</v>
      </c>
      <c r="C166" s="9" t="n">
        <f aca="false">INDEX(Asumsi!$D$17:$F$17,C$79)</f>
        <v>750000</v>
      </c>
      <c r="D166" s="9" t="n">
        <f aca="false">INDEX(Asumsi!$D$17:$F$17,D$79)</f>
        <v>750000</v>
      </c>
      <c r="E166" s="9" t="n">
        <f aca="false">INDEX(Asumsi!$D$17:$F$17,E$79)</f>
        <v>750000</v>
      </c>
      <c r="F166" s="9" t="n">
        <f aca="false">INDEX(Asumsi!$D$17:$F$17,F$79)</f>
        <v>750000</v>
      </c>
      <c r="G166" s="9" t="n">
        <f aca="false">INDEX(Asumsi!$D$17:$F$17,G$79)</f>
        <v>750000</v>
      </c>
      <c r="H166" s="9" t="n">
        <f aca="false">INDEX(Asumsi!$D$17:$F$17,H$79)</f>
        <v>750000</v>
      </c>
      <c r="I166" s="9" t="n">
        <f aca="false">INDEX(Asumsi!$D$17:$F$17,I$79)</f>
        <v>750000</v>
      </c>
      <c r="J166" s="9" t="n">
        <f aca="false">INDEX(Asumsi!$D$17:$F$17,J$79)</f>
        <v>750000</v>
      </c>
      <c r="K166" s="9" t="n">
        <f aca="false">INDEX(Asumsi!$D$17:$F$17,K$79)</f>
        <v>750000</v>
      </c>
      <c r="L166" s="9" t="n">
        <f aca="false">INDEX(Asumsi!$D$17:$F$17,L$79)</f>
        <v>750000</v>
      </c>
    </row>
    <row r="167" customFormat="false" ht="15" hidden="false" customHeight="false" outlineLevel="0" collapsed="false">
      <c r="B167" s="4" t="s">
        <v>603</v>
      </c>
      <c r="C167" s="11" t="n">
        <f aca="false">INDEX(Asumsi!$D$21:$F$21,C$79)</f>
        <v>0.12</v>
      </c>
      <c r="D167" s="11" t="n">
        <f aca="false">INDEX(Asumsi!$D$21:$F$21,D$79)</f>
        <v>0.12</v>
      </c>
      <c r="E167" s="11" t="n">
        <f aca="false">INDEX(Asumsi!$D$21:$F$21,E$79)</f>
        <v>0.12</v>
      </c>
      <c r="F167" s="11" t="n">
        <f aca="false">INDEX(Asumsi!$D$21:$F$21,F$79)</f>
        <v>0.12</v>
      </c>
      <c r="G167" s="11" t="n">
        <f aca="false">INDEX(Asumsi!$D$21:$F$21,G$79)</f>
        <v>0.12</v>
      </c>
      <c r="H167" s="11" t="n">
        <f aca="false">INDEX(Asumsi!$D$21:$F$21,H$79)</f>
        <v>0.12</v>
      </c>
      <c r="I167" s="11" t="n">
        <f aca="false">INDEX(Asumsi!$D$21:$F$21,I$79)</f>
        <v>0.12</v>
      </c>
      <c r="J167" s="11" t="n">
        <f aca="false">INDEX(Asumsi!$D$21:$F$21,J$79)</f>
        <v>0.12</v>
      </c>
      <c r="K167" s="11" t="n">
        <f aca="false">INDEX(Asumsi!$D$21:$F$21,K$79)</f>
        <v>0.12</v>
      </c>
      <c r="L167" s="11" t="n">
        <f aca="false">INDEX(Asumsi!$D$21:$F$21,L$79)</f>
        <v>0.12</v>
      </c>
    </row>
    <row r="168" customFormat="false" ht="15" hidden="false" customHeight="false" outlineLevel="0" collapsed="false">
      <c r="B168" s="4" t="s">
        <v>604</v>
      </c>
      <c r="C168" s="55" t="n">
        <f aca="false">INDEX(Asumsi!$D$22:$F$22,C$79)</f>
        <v>0.916667</v>
      </c>
      <c r="D168" s="55" t="n">
        <f aca="false">INDEX(Asumsi!$D$22:$F$22,D$79)</f>
        <v>0.916667</v>
      </c>
      <c r="E168" s="55" t="n">
        <f aca="false">INDEX(Asumsi!$D$22:$F$22,E$79)</f>
        <v>0.916667</v>
      </c>
      <c r="F168" s="55" t="n">
        <f aca="false">INDEX(Asumsi!$D$22:$F$22,F$79)</f>
        <v>0.916667</v>
      </c>
      <c r="G168" s="55" t="n">
        <f aca="false">INDEX(Asumsi!$D$22:$F$22,G$79)</f>
        <v>0.916667</v>
      </c>
      <c r="H168" s="55" t="n">
        <f aca="false">INDEX(Asumsi!$D$22:$F$22,H$79)</f>
        <v>0.916667</v>
      </c>
      <c r="I168" s="55" t="n">
        <f aca="false">INDEX(Asumsi!$D$22:$F$22,I$79)</f>
        <v>0.916667</v>
      </c>
      <c r="J168" s="55" t="n">
        <f aca="false">INDEX(Asumsi!$D$22:$F$22,J$79)</f>
        <v>0.916667</v>
      </c>
      <c r="K168" s="55" t="n">
        <f aca="false">INDEX(Asumsi!$D$22:$F$22,K$79)</f>
        <v>0.916667</v>
      </c>
      <c r="L168" s="55" t="n">
        <f aca="false">INDEX(Asumsi!$D$22:$F$22,L$79)</f>
        <v>0.916667</v>
      </c>
    </row>
    <row r="169" customFormat="false" ht="15" hidden="false" customHeight="false" outlineLevel="0" collapsed="false">
      <c r="B169" s="4" t="s">
        <v>605</v>
      </c>
      <c r="C169" s="56" t="n">
        <f aca="false">INDEX(Asumsi!$D$23:$F$23,C$79)</f>
        <v>1</v>
      </c>
      <c r="D169" s="56" t="n">
        <f aca="false">INDEX(Asumsi!$D$23:$F$23,D$79)</f>
        <v>1</v>
      </c>
      <c r="E169" s="56" t="n">
        <f aca="false">INDEX(Asumsi!$D$23:$F$23,E$79)</f>
        <v>1</v>
      </c>
      <c r="F169" s="56" t="n">
        <f aca="false">INDEX(Asumsi!$D$23:$F$23,F$79)</f>
        <v>1</v>
      </c>
      <c r="G169" s="56" t="n">
        <f aca="false">INDEX(Asumsi!$D$23:$F$23,G$79)</f>
        <v>1</v>
      </c>
      <c r="H169" s="56" t="n">
        <f aca="false">INDEX(Asumsi!$D$23:$F$23,H$79)</f>
        <v>1</v>
      </c>
      <c r="I169" s="56" t="n">
        <f aca="false">INDEX(Asumsi!$D$23:$F$23,I$79)</f>
        <v>1</v>
      </c>
      <c r="J169" s="56" t="n">
        <f aca="false">INDEX(Asumsi!$D$23:$F$23,J$79)</f>
        <v>1</v>
      </c>
      <c r="K169" s="56" t="n">
        <f aca="false">INDEX(Asumsi!$D$23:$F$23,K$79)</f>
        <v>1</v>
      </c>
      <c r="L169" s="56" t="n">
        <f aca="false">INDEX(Asumsi!$D$23:$F$23,L$79)</f>
        <v>1</v>
      </c>
    </row>
    <row r="170" customFormat="false" ht="15" hidden="false" customHeight="false" outlineLevel="0" collapsed="false">
      <c r="B170" s="4" t="s">
        <v>606</v>
      </c>
      <c r="C170" s="9" t="n">
        <f aca="false">INDEX(Asumsi!$D$29:$F$29,C$79)</f>
        <v>4500</v>
      </c>
      <c r="D170" s="9" t="n">
        <f aca="false">INDEX(Asumsi!$D$29:$F$29,D$79)</f>
        <v>4500</v>
      </c>
      <c r="E170" s="9" t="n">
        <f aca="false">INDEX(Asumsi!$D$29:$F$29,E$79)</f>
        <v>4500</v>
      </c>
      <c r="F170" s="9" t="n">
        <f aca="false">INDEX(Asumsi!$D$29:$F$29,F$79)</f>
        <v>4500</v>
      </c>
      <c r="G170" s="9" t="n">
        <f aca="false">INDEX(Asumsi!$D$29:$F$29,G$79)</f>
        <v>4500</v>
      </c>
      <c r="H170" s="9" t="n">
        <f aca="false">INDEX(Asumsi!$D$29:$F$29,H$79)</f>
        <v>4500</v>
      </c>
      <c r="I170" s="9" t="n">
        <f aca="false">INDEX(Asumsi!$D$29:$F$29,I$79)</f>
        <v>4500</v>
      </c>
      <c r="J170" s="9" t="n">
        <f aca="false">INDEX(Asumsi!$D$29:$F$29,J$79)</f>
        <v>4500</v>
      </c>
      <c r="K170" s="9" t="n">
        <f aca="false">INDEX(Asumsi!$D$29:$F$29,K$79)</f>
        <v>4500</v>
      </c>
      <c r="L170" s="9" t="n">
        <f aca="false">INDEX(Asumsi!$D$29:$F$29,L$79)</f>
        <v>4500</v>
      </c>
    </row>
    <row r="171" customFormat="false" ht="15" hidden="false" customHeight="false" outlineLevel="0" collapsed="false">
      <c r="B171" s="4" t="s">
        <v>607</v>
      </c>
      <c r="C171" s="17" t="n">
        <f aca="false">INDEX(Asumsi!$D$30:$F$30,C$79)</f>
        <v>0</v>
      </c>
      <c r="D171" s="17" t="n">
        <f aca="false">INDEX(Asumsi!$D$30:$F$30,D$79)</f>
        <v>0</v>
      </c>
      <c r="E171" s="17" t="n">
        <f aca="false">INDEX(Asumsi!$D$30:$F$30,E$79)</f>
        <v>0</v>
      </c>
      <c r="F171" s="17" t="n">
        <f aca="false">INDEX(Asumsi!$D$30:$F$30,F$79)</f>
        <v>0</v>
      </c>
      <c r="G171" s="17" t="n">
        <f aca="false">INDEX(Asumsi!$D$30:$F$30,G$79)</f>
        <v>0</v>
      </c>
      <c r="H171" s="17" t="n">
        <f aca="false">INDEX(Asumsi!$D$30:$F$30,H$79)</f>
        <v>0</v>
      </c>
      <c r="I171" s="17" t="n">
        <f aca="false">INDEX(Asumsi!$D$30:$F$30,I$79)</f>
        <v>0</v>
      </c>
      <c r="J171" s="17" t="n">
        <f aca="false">INDEX(Asumsi!$D$30:$F$30,J$79)</f>
        <v>0</v>
      </c>
      <c r="K171" s="17" t="n">
        <f aca="false">INDEX(Asumsi!$D$30:$F$30,K$79)</f>
        <v>0</v>
      </c>
      <c r="L171" s="17" t="n">
        <f aca="false">INDEX(Asumsi!$D$30:$F$30,L$79)</f>
        <v>0</v>
      </c>
    </row>
    <row r="172" customFormat="false" ht="15" hidden="false" customHeight="false" outlineLevel="0" collapsed="false">
      <c r="B172" s="4" t="s">
        <v>608</v>
      </c>
      <c r="C172" s="9" t="n">
        <f aca="false">INDEX(Asumsi!$D$31:$F$31,C$79)</f>
        <v>0</v>
      </c>
      <c r="D172" s="9" t="n">
        <f aca="false">INDEX(Asumsi!$D$31:$F$31,D$79)</f>
        <v>0</v>
      </c>
      <c r="E172" s="9" t="n">
        <f aca="false">INDEX(Asumsi!$D$31:$F$31,E$79)</f>
        <v>0</v>
      </c>
      <c r="F172" s="9" t="n">
        <f aca="false">INDEX(Asumsi!$D$31:$F$31,F$79)</f>
        <v>0</v>
      </c>
      <c r="G172" s="9" t="n">
        <f aca="false">INDEX(Asumsi!$D$31:$F$31,G$79)</f>
        <v>0</v>
      </c>
      <c r="H172" s="9" t="n">
        <f aca="false">INDEX(Asumsi!$D$31:$F$31,H$79)</f>
        <v>0</v>
      </c>
      <c r="I172" s="9" t="n">
        <f aca="false">INDEX(Asumsi!$D$31:$F$31,I$79)</f>
        <v>0</v>
      </c>
      <c r="J172" s="9" t="n">
        <f aca="false">INDEX(Asumsi!$D$31:$F$31,J$79)</f>
        <v>0</v>
      </c>
      <c r="K172" s="9" t="n">
        <f aca="false">INDEX(Asumsi!$D$31:$F$31,K$79)</f>
        <v>0</v>
      </c>
      <c r="L172" s="9" t="n">
        <f aca="false">INDEX(Asumsi!$D$31:$F$31,L$79)</f>
        <v>0</v>
      </c>
    </row>
    <row r="173" customFormat="false" ht="15" hidden="false" customHeight="false" outlineLevel="0" collapsed="false">
      <c r="B173" s="4" t="s">
        <v>609</v>
      </c>
      <c r="C173" s="17" t="n">
        <f aca="false">INDEX(Asumsi!$D$32:$F$32,C$79)</f>
        <v>0.007</v>
      </c>
      <c r="D173" s="17" t="n">
        <f aca="false">INDEX(Asumsi!$D$32:$F$32,D$79)</f>
        <v>0.007</v>
      </c>
      <c r="E173" s="17" t="n">
        <f aca="false">INDEX(Asumsi!$D$32:$F$32,E$79)</f>
        <v>0.007</v>
      </c>
      <c r="F173" s="17" t="n">
        <f aca="false">INDEX(Asumsi!$D$32:$F$32,F$79)</f>
        <v>0.007</v>
      </c>
      <c r="G173" s="17" t="n">
        <f aca="false">INDEX(Asumsi!$D$32:$F$32,G$79)</f>
        <v>0.007</v>
      </c>
      <c r="H173" s="17" t="n">
        <f aca="false">INDEX(Asumsi!$D$32:$F$32,H$79)</f>
        <v>0.007</v>
      </c>
      <c r="I173" s="17" t="n">
        <f aca="false">INDEX(Asumsi!$D$32:$F$32,I$79)</f>
        <v>0.007</v>
      </c>
      <c r="J173" s="17" t="n">
        <f aca="false">INDEX(Asumsi!$D$32:$F$32,J$79)</f>
        <v>0.007</v>
      </c>
      <c r="K173" s="17" t="n">
        <f aca="false">INDEX(Asumsi!$D$32:$F$32,K$79)</f>
        <v>0.007</v>
      </c>
      <c r="L173" s="17" t="n">
        <f aca="false">INDEX(Asumsi!$D$32:$F$32,L$79)</f>
        <v>0.007</v>
      </c>
    </row>
    <row r="174" customFormat="false" ht="15" hidden="false" customHeight="false" outlineLevel="0" collapsed="false">
      <c r="B174" s="4" t="s">
        <v>610</v>
      </c>
      <c r="C174" s="9" t="n">
        <f aca="false">INDEX(Asumsi!$D$33:$F$33,C$79)</f>
        <v>0</v>
      </c>
      <c r="D174" s="9" t="n">
        <f aca="false">INDEX(Asumsi!$D$33:$F$33,D$79)</f>
        <v>0</v>
      </c>
      <c r="E174" s="9" t="n">
        <f aca="false">INDEX(Asumsi!$D$33:$F$33,E$79)</f>
        <v>0</v>
      </c>
      <c r="F174" s="9" t="n">
        <f aca="false">INDEX(Asumsi!$D$33:$F$33,F$79)</f>
        <v>0</v>
      </c>
      <c r="G174" s="9" t="n">
        <f aca="false">INDEX(Asumsi!$D$33:$F$33,G$79)</f>
        <v>0</v>
      </c>
      <c r="H174" s="9" t="n">
        <f aca="false">INDEX(Asumsi!$D$33:$F$33,H$79)</f>
        <v>0</v>
      </c>
      <c r="I174" s="9" t="n">
        <f aca="false">INDEX(Asumsi!$D$33:$F$33,I$79)</f>
        <v>0</v>
      </c>
      <c r="J174" s="9" t="n">
        <f aca="false">INDEX(Asumsi!$D$33:$F$33,J$79)</f>
        <v>0</v>
      </c>
      <c r="K174" s="9" t="n">
        <f aca="false">INDEX(Asumsi!$D$33:$F$33,K$79)</f>
        <v>0</v>
      </c>
      <c r="L174" s="9" t="n">
        <f aca="false">INDEX(Asumsi!$D$33:$F$33,L$79)</f>
        <v>0</v>
      </c>
    </row>
    <row r="175" customFormat="false" ht="15" hidden="false" customHeight="false" outlineLevel="0" collapsed="false">
      <c r="B175" s="4" t="s">
        <v>611</v>
      </c>
      <c r="C175" s="17" t="n">
        <f aca="false">INDEX(Asumsi!$D$34:$F$34,C$79)</f>
        <v>0.015</v>
      </c>
      <c r="D175" s="17" t="n">
        <f aca="false">INDEX(Asumsi!$D$34:$F$34,D$79)</f>
        <v>0.015</v>
      </c>
      <c r="E175" s="17" t="n">
        <f aca="false">INDEX(Asumsi!$D$34:$F$34,E$79)</f>
        <v>0.015</v>
      </c>
      <c r="F175" s="17" t="n">
        <f aca="false">INDEX(Asumsi!$D$34:$F$34,F$79)</f>
        <v>0.015</v>
      </c>
      <c r="G175" s="17" t="n">
        <f aca="false">INDEX(Asumsi!$D$34:$F$34,G$79)</f>
        <v>0.015</v>
      </c>
      <c r="H175" s="17" t="n">
        <f aca="false">INDEX(Asumsi!$D$34:$F$34,H$79)</f>
        <v>0.015</v>
      </c>
      <c r="I175" s="17" t="n">
        <f aca="false">INDEX(Asumsi!$D$34:$F$34,I$79)</f>
        <v>0.015</v>
      </c>
      <c r="J175" s="17" t="n">
        <f aca="false">INDEX(Asumsi!$D$34:$F$34,J$79)</f>
        <v>0.015</v>
      </c>
      <c r="K175" s="17" t="n">
        <f aca="false">INDEX(Asumsi!$D$34:$F$34,K$79)</f>
        <v>0.015</v>
      </c>
      <c r="L175" s="17" t="n">
        <f aca="false">INDEX(Asumsi!$D$34:$F$34,L$79)</f>
        <v>0.015</v>
      </c>
    </row>
    <row r="176" customFormat="false" ht="15" hidden="false" customHeight="false" outlineLevel="0" collapsed="false">
      <c r="B176" s="4" t="s">
        <v>612</v>
      </c>
      <c r="C176" s="9" t="n">
        <f aca="false">INDEX(Asumsi!$D$35:$F$35,C$79)</f>
        <v>2000</v>
      </c>
      <c r="D176" s="9" t="n">
        <f aca="false">INDEX(Asumsi!$D$35:$F$35,D$79)</f>
        <v>2000</v>
      </c>
      <c r="E176" s="9" t="n">
        <f aca="false">INDEX(Asumsi!$D$35:$F$35,E$79)</f>
        <v>2000</v>
      </c>
      <c r="F176" s="9" t="n">
        <f aca="false">INDEX(Asumsi!$D$35:$F$35,F$79)</f>
        <v>2000</v>
      </c>
      <c r="G176" s="9" t="n">
        <f aca="false">INDEX(Asumsi!$D$35:$F$35,G$79)</f>
        <v>2000</v>
      </c>
      <c r="H176" s="9" t="n">
        <f aca="false">INDEX(Asumsi!$D$35:$F$35,H$79)</f>
        <v>2000</v>
      </c>
      <c r="I176" s="9" t="n">
        <f aca="false">INDEX(Asumsi!$D$35:$F$35,I$79)</f>
        <v>2000</v>
      </c>
      <c r="J176" s="9" t="n">
        <f aca="false">INDEX(Asumsi!$D$35:$F$35,J$79)</f>
        <v>2000</v>
      </c>
      <c r="K176" s="9" t="n">
        <f aca="false">INDEX(Asumsi!$D$35:$F$35,K$79)</f>
        <v>2000</v>
      </c>
      <c r="L176" s="9" t="n">
        <f aca="false">INDEX(Asumsi!$D$35:$F$35,L$79)</f>
        <v>2000</v>
      </c>
    </row>
    <row r="177" customFormat="false" ht="15" hidden="false" customHeight="false" outlineLevel="0" collapsed="false">
      <c r="B177" s="4" t="s">
        <v>613</v>
      </c>
      <c r="C177" s="17" t="n">
        <f aca="false">INDEX(Asumsi!$D$36:$F$36,C$79)</f>
        <v>0.029</v>
      </c>
      <c r="D177" s="17" t="n">
        <f aca="false">INDEX(Asumsi!$D$36:$F$36,D$79)</f>
        <v>0.029</v>
      </c>
      <c r="E177" s="17" t="n">
        <f aca="false">INDEX(Asumsi!$D$36:$F$36,E$79)</f>
        <v>0.029</v>
      </c>
      <c r="F177" s="17" t="n">
        <f aca="false">INDEX(Asumsi!$D$36:$F$36,F$79)</f>
        <v>0.029</v>
      </c>
      <c r="G177" s="17" t="n">
        <f aca="false">INDEX(Asumsi!$D$36:$F$36,G$79)</f>
        <v>0.029</v>
      </c>
      <c r="H177" s="17" t="n">
        <f aca="false">INDEX(Asumsi!$D$36:$F$36,H$79)</f>
        <v>0.029</v>
      </c>
      <c r="I177" s="17" t="n">
        <f aca="false">INDEX(Asumsi!$D$36:$F$36,I$79)</f>
        <v>0.029</v>
      </c>
      <c r="J177" s="17" t="n">
        <f aca="false">INDEX(Asumsi!$D$36:$F$36,J$79)</f>
        <v>0.029</v>
      </c>
      <c r="K177" s="17" t="n">
        <f aca="false">INDEX(Asumsi!$D$36:$F$36,K$79)</f>
        <v>0.029</v>
      </c>
      <c r="L177" s="17" t="n">
        <f aca="false">INDEX(Asumsi!$D$36:$F$36,L$79)</f>
        <v>0.029</v>
      </c>
    </row>
    <row r="178" customFormat="false" ht="15" hidden="false" customHeight="false" outlineLevel="0" collapsed="false">
      <c r="B178" s="4" t="s">
        <v>614</v>
      </c>
      <c r="C178" s="9" t="n">
        <f aca="false">INDEX(Asumsi!$D$38:$F$38,C$79)</f>
        <v>9000</v>
      </c>
      <c r="D178" s="9" t="n">
        <f aca="false">INDEX(Asumsi!$D$38:$F$38,D$79)</f>
        <v>9000</v>
      </c>
      <c r="E178" s="9" t="n">
        <f aca="false">INDEX(Asumsi!$D$38:$F$38,E$79)</f>
        <v>9000</v>
      </c>
      <c r="F178" s="9" t="n">
        <f aca="false">INDEX(Asumsi!$D$38:$F$38,F$79)</f>
        <v>9000</v>
      </c>
      <c r="G178" s="9" t="n">
        <f aca="false">INDEX(Asumsi!$D$38:$F$38,G$79)</f>
        <v>9000</v>
      </c>
      <c r="H178" s="9" t="n">
        <f aca="false">INDEX(Asumsi!$D$38:$F$38,H$79)</f>
        <v>9000</v>
      </c>
      <c r="I178" s="9" t="n">
        <f aca="false">INDEX(Asumsi!$D$38:$F$38,I$79)</f>
        <v>9000</v>
      </c>
      <c r="J178" s="9" t="n">
        <f aca="false">INDEX(Asumsi!$D$38:$F$38,J$79)</f>
        <v>9000</v>
      </c>
      <c r="K178" s="9" t="n">
        <f aca="false">INDEX(Asumsi!$D$38:$F$38,K$79)</f>
        <v>9000</v>
      </c>
      <c r="L178" s="9" t="n">
        <f aca="false">INDEX(Asumsi!$D$38:$F$38,L$79)</f>
        <v>9000</v>
      </c>
    </row>
    <row r="179" customFormat="false" ht="15" hidden="false" customHeight="false" outlineLevel="0" collapsed="false">
      <c r="B179" s="4" t="s">
        <v>615</v>
      </c>
      <c r="C179" s="9" t="n">
        <f aca="false">INDEX(Asumsi!$D$39:$F$39,C$79)</f>
        <v>4000</v>
      </c>
      <c r="D179" s="9" t="n">
        <f aca="false">INDEX(Asumsi!$D$39:$F$39,D$79)</f>
        <v>4000</v>
      </c>
      <c r="E179" s="9" t="n">
        <f aca="false">INDEX(Asumsi!$D$39:$F$39,E$79)</f>
        <v>4000</v>
      </c>
      <c r="F179" s="9" t="n">
        <f aca="false">INDEX(Asumsi!$D$39:$F$39,F$79)</f>
        <v>4000</v>
      </c>
      <c r="G179" s="9" t="n">
        <f aca="false">INDEX(Asumsi!$D$39:$F$39,G$79)</f>
        <v>4000</v>
      </c>
      <c r="H179" s="9" t="n">
        <f aca="false">INDEX(Asumsi!$D$39:$F$39,H$79)</f>
        <v>4000</v>
      </c>
      <c r="I179" s="9" t="n">
        <f aca="false">INDEX(Asumsi!$D$39:$F$39,I$79)</f>
        <v>4000</v>
      </c>
      <c r="J179" s="9" t="n">
        <f aca="false">INDEX(Asumsi!$D$39:$F$39,J$79)</f>
        <v>4000</v>
      </c>
      <c r="K179" s="9" t="n">
        <f aca="false">INDEX(Asumsi!$D$39:$F$39,K$79)</f>
        <v>4000</v>
      </c>
      <c r="L179" s="9" t="n">
        <f aca="false">INDEX(Asumsi!$D$39:$F$39,L$79)</f>
        <v>4000</v>
      </c>
    </row>
    <row r="180" customFormat="false" ht="15" hidden="false" customHeight="false" outlineLevel="0" collapsed="false">
      <c r="B180" s="4" t="s">
        <v>616</v>
      </c>
      <c r="C180" s="17" t="n">
        <f aca="false">INDEX(Asumsi!$D$40:$F$40,C$79)</f>
        <v>0.007</v>
      </c>
      <c r="D180" s="17" t="n">
        <f aca="false">INDEX(Asumsi!$D$40:$F$40,D$79)</f>
        <v>0.007</v>
      </c>
      <c r="E180" s="17" t="n">
        <f aca="false">INDEX(Asumsi!$D$40:$F$40,E$79)</f>
        <v>0.007</v>
      </c>
      <c r="F180" s="17" t="n">
        <f aca="false">INDEX(Asumsi!$D$40:$F$40,F$79)</f>
        <v>0.007</v>
      </c>
      <c r="G180" s="17" t="n">
        <f aca="false">INDEX(Asumsi!$D$40:$F$40,G$79)</f>
        <v>0.007</v>
      </c>
      <c r="H180" s="17" t="n">
        <f aca="false">INDEX(Asumsi!$D$40:$F$40,H$79)</f>
        <v>0.007</v>
      </c>
      <c r="I180" s="17" t="n">
        <f aca="false">INDEX(Asumsi!$D$40:$F$40,I$79)</f>
        <v>0.007</v>
      </c>
      <c r="J180" s="17" t="n">
        <f aca="false">INDEX(Asumsi!$D$40:$F$40,J$79)</f>
        <v>0.007</v>
      </c>
      <c r="K180" s="17" t="n">
        <f aca="false">INDEX(Asumsi!$D$40:$F$40,K$79)</f>
        <v>0.007</v>
      </c>
      <c r="L180" s="17" t="n">
        <f aca="false">INDEX(Asumsi!$D$40:$F$40,L$79)</f>
        <v>0.007</v>
      </c>
    </row>
    <row r="181" customFormat="false" ht="15" hidden="false" customHeight="false" outlineLevel="0" collapsed="false">
      <c r="B181" s="4" t="s">
        <v>617</v>
      </c>
      <c r="C181" s="17" t="n">
        <f aca="false">INDEX(Asumsi!$D$41:$F$41,C$79)</f>
        <v>0.03</v>
      </c>
      <c r="D181" s="17" t="n">
        <f aca="false">INDEX(Asumsi!$D$41:$F$41,D$79)</f>
        <v>0.03</v>
      </c>
      <c r="E181" s="17" t="n">
        <f aca="false">INDEX(Asumsi!$D$41:$F$41,E$79)</f>
        <v>0.03</v>
      </c>
      <c r="F181" s="17" t="n">
        <f aca="false">INDEX(Asumsi!$D$41:$F$41,F$79)</f>
        <v>0.03</v>
      </c>
      <c r="G181" s="17" t="n">
        <f aca="false">INDEX(Asumsi!$D$41:$F$41,G$79)</f>
        <v>0.03</v>
      </c>
      <c r="H181" s="17" t="n">
        <f aca="false">INDEX(Asumsi!$D$41:$F$41,H$79)</f>
        <v>0.03</v>
      </c>
      <c r="I181" s="17" t="n">
        <f aca="false">INDEX(Asumsi!$D$41:$F$41,I$79)</f>
        <v>0.03</v>
      </c>
      <c r="J181" s="17" t="n">
        <f aca="false">INDEX(Asumsi!$D$41:$F$41,J$79)</f>
        <v>0.03</v>
      </c>
      <c r="K181" s="17" t="n">
        <f aca="false">INDEX(Asumsi!$D$41:$F$41,K$79)</f>
        <v>0.03</v>
      </c>
      <c r="L181" s="17" t="n">
        <f aca="false">INDEX(Asumsi!$D$41:$F$41,L$79)</f>
        <v>0.03</v>
      </c>
    </row>
    <row r="182" customFormat="false" ht="15" hidden="false" customHeight="false" outlineLevel="0" collapsed="false">
      <c r="B182" s="4" t="s">
        <v>618</v>
      </c>
      <c r="C182" s="17" t="n">
        <f aca="false">INDEX(Asumsi!$D$42:$F$42,C$79)</f>
        <v>0.029</v>
      </c>
      <c r="D182" s="17" t="n">
        <f aca="false">INDEX(Asumsi!$D$42:$F$42,D$79)</f>
        <v>0.029</v>
      </c>
      <c r="E182" s="17" t="n">
        <f aca="false">INDEX(Asumsi!$D$42:$F$42,E$79)</f>
        <v>0.029</v>
      </c>
      <c r="F182" s="17" t="n">
        <f aca="false">INDEX(Asumsi!$D$42:$F$42,F$79)</f>
        <v>0.029</v>
      </c>
      <c r="G182" s="17" t="n">
        <f aca="false">INDEX(Asumsi!$D$42:$F$42,G$79)</f>
        <v>0.029</v>
      </c>
      <c r="H182" s="17" t="n">
        <f aca="false">INDEX(Asumsi!$D$42:$F$42,H$79)</f>
        <v>0.029</v>
      </c>
      <c r="I182" s="17" t="n">
        <f aca="false">INDEX(Asumsi!$D$42:$F$42,I$79)</f>
        <v>0.029</v>
      </c>
      <c r="J182" s="17" t="n">
        <f aca="false">INDEX(Asumsi!$D$42:$F$42,J$79)</f>
        <v>0.029</v>
      </c>
      <c r="K182" s="17" t="n">
        <f aca="false">INDEX(Asumsi!$D$42:$F$42,K$79)</f>
        <v>0.029</v>
      </c>
      <c r="L182" s="17" t="n">
        <f aca="false">INDEX(Asumsi!$D$42:$F$42,L$79)</f>
        <v>0.029</v>
      </c>
    </row>
    <row r="183" customFormat="false" ht="15" hidden="false" customHeight="false" outlineLevel="0" collapsed="false">
      <c r="B183" s="4" t="s">
        <v>619</v>
      </c>
      <c r="C183" s="9" t="n">
        <f aca="false">INDEX(Asumsi!$D$43:$F$43,C$79)</f>
        <v>2000</v>
      </c>
      <c r="D183" s="9" t="n">
        <f aca="false">INDEX(Asumsi!$D$43:$F$43,D$79)</f>
        <v>2000</v>
      </c>
      <c r="E183" s="9" t="n">
        <f aca="false">INDEX(Asumsi!$D$43:$F$43,E$79)</f>
        <v>2000</v>
      </c>
      <c r="F183" s="9" t="n">
        <f aca="false">INDEX(Asumsi!$D$43:$F$43,F$79)</f>
        <v>2000</v>
      </c>
      <c r="G183" s="9" t="n">
        <f aca="false">INDEX(Asumsi!$D$43:$F$43,G$79)</f>
        <v>2000</v>
      </c>
      <c r="H183" s="9" t="n">
        <f aca="false">INDEX(Asumsi!$D$43:$F$43,H$79)</f>
        <v>2000</v>
      </c>
      <c r="I183" s="9" t="n">
        <f aca="false">INDEX(Asumsi!$D$43:$F$43,I$79)</f>
        <v>2000</v>
      </c>
      <c r="J183" s="9" t="n">
        <f aca="false">INDEX(Asumsi!$D$43:$F$43,J$79)</f>
        <v>2000</v>
      </c>
      <c r="K183" s="9" t="n">
        <f aca="false">INDEX(Asumsi!$D$43:$F$43,K$79)</f>
        <v>2000</v>
      </c>
      <c r="L183" s="9" t="n">
        <f aca="false">INDEX(Asumsi!$D$43:$F$43,L$79)</f>
        <v>2000</v>
      </c>
    </row>
    <row r="184" customFormat="false" ht="15" hidden="false" customHeight="false" outlineLevel="0" collapsed="false">
      <c r="B184" s="4" t="s">
        <v>620</v>
      </c>
      <c r="C184" s="11" t="n">
        <f aca="false">INDEX(Asumsi!$D$44:$F$44,C$79)</f>
        <v>0.11</v>
      </c>
      <c r="D184" s="11" t="n">
        <f aca="false">INDEX(Asumsi!$D$44:$F$44,D$79)</f>
        <v>0.11</v>
      </c>
      <c r="E184" s="11" t="n">
        <f aca="false">INDEX(Asumsi!$D$44:$F$44,E$79)</f>
        <v>0.11</v>
      </c>
      <c r="F184" s="11" t="n">
        <f aca="false">INDEX(Asumsi!$D$44:$F$44,F$79)</f>
        <v>0.11</v>
      </c>
      <c r="G184" s="11" t="n">
        <f aca="false">INDEX(Asumsi!$D$44:$F$44,G$79)</f>
        <v>0.11</v>
      </c>
      <c r="H184" s="11" t="n">
        <f aca="false">INDEX(Asumsi!$D$44:$F$44,H$79)</f>
        <v>0.11</v>
      </c>
      <c r="I184" s="11" t="n">
        <f aca="false">INDEX(Asumsi!$D$44:$F$44,I$79)</f>
        <v>0.11</v>
      </c>
      <c r="J184" s="11" t="n">
        <f aca="false">INDEX(Asumsi!$D$44:$F$44,J$79)</f>
        <v>0.11</v>
      </c>
      <c r="K184" s="11" t="n">
        <f aca="false">INDEX(Asumsi!$D$44:$F$44,K$79)</f>
        <v>0.11</v>
      </c>
      <c r="L184" s="11" t="n">
        <f aca="false">INDEX(Asumsi!$D$44:$F$44,L$79)</f>
        <v>0.11</v>
      </c>
    </row>
    <row r="185" customFormat="false" ht="15" hidden="false" customHeight="false" outlineLevel="0" collapsed="false">
      <c r="B185" s="4" t="s">
        <v>621</v>
      </c>
      <c r="C185" s="9" t="n">
        <f aca="false">INDEX(Asumsi!$D$45:$F$45,C$79)</f>
        <v>4500</v>
      </c>
      <c r="D185" s="9" t="n">
        <f aca="false">INDEX(Asumsi!$D$45:$F$45,D$79)</f>
        <v>4500</v>
      </c>
      <c r="E185" s="9" t="n">
        <f aca="false">INDEX(Asumsi!$D$45:$F$45,E$79)</f>
        <v>4500</v>
      </c>
      <c r="F185" s="9" t="n">
        <f aca="false">INDEX(Asumsi!$D$45:$F$45,F$79)</f>
        <v>4500</v>
      </c>
      <c r="G185" s="9" t="n">
        <f aca="false">INDEX(Asumsi!$D$45:$F$45,G$79)</f>
        <v>4500</v>
      </c>
      <c r="H185" s="9" t="n">
        <f aca="false">INDEX(Asumsi!$D$45:$F$45,H$79)</f>
        <v>4500</v>
      </c>
      <c r="I185" s="9" t="n">
        <f aca="false">INDEX(Asumsi!$D$45:$F$45,I$79)</f>
        <v>4500</v>
      </c>
      <c r="J185" s="9" t="n">
        <f aca="false">INDEX(Asumsi!$D$45:$F$45,J$79)</f>
        <v>4500</v>
      </c>
      <c r="K185" s="9" t="n">
        <f aca="false">INDEX(Asumsi!$D$45:$F$45,K$79)</f>
        <v>4500</v>
      </c>
      <c r="L185" s="9" t="n">
        <f aca="false">INDEX(Asumsi!$D$45:$F$45,L$79)</f>
        <v>4500</v>
      </c>
    </row>
    <row r="186" customFormat="false" ht="15" hidden="false" customHeight="false" outlineLevel="0" collapsed="false">
      <c r="B186" s="4" t="s">
        <v>622</v>
      </c>
      <c r="C186" s="17" t="n">
        <f aca="false">INDEX(Asumsi!$D$46:$F$46,C$79)</f>
        <v>0</v>
      </c>
      <c r="D186" s="17" t="n">
        <f aca="false">INDEX(Asumsi!$D$46:$F$46,D$79)</f>
        <v>0</v>
      </c>
      <c r="E186" s="17" t="n">
        <f aca="false">INDEX(Asumsi!$D$46:$F$46,E$79)</f>
        <v>0</v>
      </c>
      <c r="F186" s="17" t="n">
        <f aca="false">INDEX(Asumsi!$D$46:$F$46,F$79)</f>
        <v>0</v>
      </c>
      <c r="G186" s="17" t="n">
        <f aca="false">INDEX(Asumsi!$D$46:$F$46,G$79)</f>
        <v>0</v>
      </c>
      <c r="H186" s="17" t="n">
        <f aca="false">INDEX(Asumsi!$D$46:$F$46,H$79)</f>
        <v>0</v>
      </c>
      <c r="I186" s="17" t="n">
        <f aca="false">INDEX(Asumsi!$D$46:$F$46,I$79)</f>
        <v>0</v>
      </c>
      <c r="J186" s="17" t="n">
        <f aca="false">INDEX(Asumsi!$D$46:$F$46,J$79)</f>
        <v>0</v>
      </c>
      <c r="K186" s="17" t="n">
        <f aca="false">INDEX(Asumsi!$D$46:$F$46,K$79)</f>
        <v>0</v>
      </c>
      <c r="L186" s="17" t="n">
        <f aca="false">INDEX(Asumsi!$D$46:$F$46,L$79)</f>
        <v>0</v>
      </c>
    </row>
    <row r="187" customFormat="false" ht="15" hidden="false" customHeight="false" outlineLevel="0" collapsed="false">
      <c r="B187" s="4" t="s">
        <v>623</v>
      </c>
      <c r="C187" s="9" t="n">
        <f aca="false">INDEX(Asumsi!$D$47:$F$47,C$79)</f>
        <v>2500</v>
      </c>
      <c r="D187" s="9" t="n">
        <f aca="false">INDEX(Asumsi!$D$47:$F$47,D$79)</f>
        <v>2500</v>
      </c>
      <c r="E187" s="9" t="n">
        <f aca="false">INDEX(Asumsi!$D$47:$F$47,E$79)</f>
        <v>2500</v>
      </c>
      <c r="F187" s="9" t="n">
        <f aca="false">INDEX(Asumsi!$D$47:$F$47,F$79)</f>
        <v>2500</v>
      </c>
      <c r="G187" s="9" t="n">
        <f aca="false">INDEX(Asumsi!$D$47:$F$47,G$79)</f>
        <v>2500</v>
      </c>
      <c r="H187" s="9" t="n">
        <f aca="false">INDEX(Asumsi!$D$47:$F$47,H$79)</f>
        <v>2500</v>
      </c>
      <c r="I187" s="9" t="n">
        <f aca="false">INDEX(Asumsi!$D$47:$F$47,I$79)</f>
        <v>2500</v>
      </c>
      <c r="J187" s="9" t="n">
        <f aca="false">INDEX(Asumsi!$D$47:$F$47,J$79)</f>
        <v>2500</v>
      </c>
      <c r="K187" s="9" t="n">
        <f aca="false">INDEX(Asumsi!$D$47:$F$47,K$79)</f>
        <v>2500</v>
      </c>
      <c r="L187" s="9" t="n">
        <f aca="false">INDEX(Asumsi!$D$47:$F$47,L$79)</f>
        <v>2500</v>
      </c>
    </row>
    <row r="188" customFormat="false" ht="15" hidden="false" customHeight="false" outlineLevel="0" collapsed="false">
      <c r="B188" s="4" t="s">
        <v>624</v>
      </c>
      <c r="C188" s="11" t="n">
        <f aca="false">INDEX(Asumsi!$D$52:$F$52,C$79)</f>
        <v>0.5</v>
      </c>
      <c r="D188" s="11" t="n">
        <f aca="false">INDEX(Asumsi!$D$52:$F$52,D$79)</f>
        <v>0.5</v>
      </c>
      <c r="E188" s="11" t="n">
        <f aca="false">INDEX(Asumsi!$D$52:$F$52,E$79)</f>
        <v>0.5</v>
      </c>
      <c r="F188" s="11" t="n">
        <f aca="false">INDEX(Asumsi!$D$52:$F$52,F$79)</f>
        <v>0.5</v>
      </c>
      <c r="G188" s="11" t="n">
        <f aca="false">INDEX(Asumsi!$D$52:$F$52,G$79)</f>
        <v>0.5</v>
      </c>
      <c r="H188" s="11" t="n">
        <f aca="false">INDEX(Asumsi!$D$52:$F$52,H$79)</f>
        <v>0.5</v>
      </c>
      <c r="I188" s="11" t="n">
        <f aca="false">INDEX(Asumsi!$D$52:$F$52,I$79)</f>
        <v>0.5</v>
      </c>
      <c r="J188" s="11" t="n">
        <f aca="false">INDEX(Asumsi!$D$52:$F$52,J$79)</f>
        <v>0.5</v>
      </c>
      <c r="K188" s="11" t="n">
        <f aca="false">INDEX(Asumsi!$D$52:$F$52,K$79)</f>
        <v>0.5</v>
      </c>
      <c r="L188" s="11" t="n">
        <f aca="false">INDEX(Asumsi!$D$52:$F$52,L$79)</f>
        <v>0.5</v>
      </c>
    </row>
    <row r="189" customFormat="false" ht="15" hidden="false" customHeight="false" outlineLevel="0" collapsed="false">
      <c r="B189" s="4" t="s">
        <v>625</v>
      </c>
      <c r="C189" s="11" t="n">
        <f aca="false">INDEX(Asumsi!$D$53:$F$53,C$79)</f>
        <v>0.25</v>
      </c>
      <c r="D189" s="11" t="n">
        <f aca="false">INDEX(Asumsi!$D$53:$F$53,D$79)</f>
        <v>0.25</v>
      </c>
      <c r="E189" s="11" t="n">
        <f aca="false">INDEX(Asumsi!$D$53:$F$53,E$79)</f>
        <v>0.25</v>
      </c>
      <c r="F189" s="11" t="n">
        <f aca="false">INDEX(Asumsi!$D$53:$F$53,F$79)</f>
        <v>0.25</v>
      </c>
      <c r="G189" s="11" t="n">
        <f aca="false">INDEX(Asumsi!$D$53:$F$53,G$79)</f>
        <v>0.25</v>
      </c>
      <c r="H189" s="11" t="n">
        <f aca="false">INDEX(Asumsi!$D$53:$F$53,H$79)</f>
        <v>0.25</v>
      </c>
      <c r="I189" s="11" t="n">
        <f aca="false">INDEX(Asumsi!$D$53:$F$53,I$79)</f>
        <v>0.25</v>
      </c>
      <c r="J189" s="11" t="n">
        <f aca="false">INDEX(Asumsi!$D$53:$F$53,J$79)</f>
        <v>0.25</v>
      </c>
      <c r="K189" s="11" t="n">
        <f aca="false">INDEX(Asumsi!$D$53:$F$53,K$79)</f>
        <v>0.25</v>
      </c>
      <c r="L189" s="11" t="n">
        <f aca="false">INDEX(Asumsi!$D$53:$F$53,L$79)</f>
        <v>0.25</v>
      </c>
    </row>
    <row r="190" customFormat="false" ht="15" hidden="false" customHeight="false" outlineLevel="0" collapsed="false">
      <c r="B190" s="4" t="s">
        <v>626</v>
      </c>
      <c r="C190" s="11" t="n">
        <f aca="false">INDEX(Asumsi!$D$54:$F$54,C$79)</f>
        <v>0.15</v>
      </c>
      <c r="D190" s="11" t="n">
        <f aca="false">INDEX(Asumsi!$D$54:$F$54,D$79)</f>
        <v>0.15</v>
      </c>
      <c r="E190" s="11" t="n">
        <f aca="false">INDEX(Asumsi!$D$54:$F$54,E$79)</f>
        <v>0.15</v>
      </c>
      <c r="F190" s="11" t="n">
        <f aca="false">INDEX(Asumsi!$D$54:$F$54,F$79)</f>
        <v>0.15</v>
      </c>
      <c r="G190" s="11" t="n">
        <f aca="false">INDEX(Asumsi!$D$54:$F$54,G$79)</f>
        <v>0.15</v>
      </c>
      <c r="H190" s="11" t="n">
        <f aca="false">INDEX(Asumsi!$D$54:$F$54,H$79)</f>
        <v>0.15</v>
      </c>
      <c r="I190" s="11" t="n">
        <f aca="false">INDEX(Asumsi!$D$54:$F$54,I$79)</f>
        <v>0.15</v>
      </c>
      <c r="J190" s="11" t="n">
        <f aca="false">INDEX(Asumsi!$D$54:$F$54,J$79)</f>
        <v>0.15</v>
      </c>
      <c r="K190" s="11" t="n">
        <f aca="false">INDEX(Asumsi!$D$54:$F$54,K$79)</f>
        <v>0.15</v>
      </c>
      <c r="L190" s="11" t="n">
        <f aca="false">INDEX(Asumsi!$D$54:$F$54,L$79)</f>
        <v>0.15</v>
      </c>
    </row>
    <row r="191" customFormat="false" ht="15" hidden="false" customHeight="false" outlineLevel="0" collapsed="false">
      <c r="B191" s="4" t="s">
        <v>627</v>
      </c>
      <c r="C191" s="11" t="n">
        <f aca="false">INDEX(Asumsi!$D$55:$F$55,C$79)</f>
        <v>0.1</v>
      </c>
      <c r="D191" s="11" t="n">
        <f aca="false">INDEX(Asumsi!$D$55:$F$55,D$79)</f>
        <v>0.1</v>
      </c>
      <c r="E191" s="11" t="n">
        <f aca="false">INDEX(Asumsi!$D$55:$F$55,E$79)</f>
        <v>0.1</v>
      </c>
      <c r="F191" s="11" t="n">
        <f aca="false">INDEX(Asumsi!$D$55:$F$55,F$79)</f>
        <v>0.1</v>
      </c>
      <c r="G191" s="11" t="n">
        <f aca="false">INDEX(Asumsi!$D$55:$F$55,G$79)</f>
        <v>0.1</v>
      </c>
      <c r="H191" s="11" t="n">
        <f aca="false">INDEX(Asumsi!$D$55:$F$55,H$79)</f>
        <v>0.1</v>
      </c>
      <c r="I191" s="11" t="n">
        <f aca="false">INDEX(Asumsi!$D$55:$F$55,I$79)</f>
        <v>0.1</v>
      </c>
      <c r="J191" s="11" t="n">
        <f aca="false">INDEX(Asumsi!$D$55:$F$55,J$79)</f>
        <v>0.1</v>
      </c>
      <c r="K191" s="11" t="n">
        <f aca="false">INDEX(Asumsi!$D$55:$F$55,K$79)</f>
        <v>0.1</v>
      </c>
      <c r="L191" s="11" t="n">
        <f aca="false">INDEX(Asumsi!$D$55:$F$55,L$79)</f>
        <v>0.1</v>
      </c>
    </row>
    <row r="192" customFormat="false" ht="15" hidden="false" customHeight="false" outlineLevel="0" collapsed="false">
      <c r="B192" s="4" t="s">
        <v>628</v>
      </c>
      <c r="C192" s="11" t="n">
        <f aca="false">INDEX(Asumsi!$D$66:$F$66,C$79)</f>
        <v>0.4</v>
      </c>
      <c r="D192" s="11" t="n">
        <f aca="false">INDEX(Asumsi!$D$66:$F$66,D$79)</f>
        <v>0.4</v>
      </c>
      <c r="E192" s="11" t="n">
        <f aca="false">INDEX(Asumsi!$D$66:$F$66,E$79)</f>
        <v>0.4</v>
      </c>
      <c r="F192" s="11" t="n">
        <f aca="false">INDEX(Asumsi!$D$66:$F$66,F$79)</f>
        <v>0.4</v>
      </c>
      <c r="G192" s="11" t="n">
        <f aca="false">INDEX(Asumsi!$D$66:$F$66,G$79)</f>
        <v>0.4</v>
      </c>
      <c r="H192" s="11" t="n">
        <f aca="false">INDEX(Asumsi!$D$66:$F$66,H$79)</f>
        <v>0.4</v>
      </c>
      <c r="I192" s="11" t="n">
        <f aca="false">INDEX(Asumsi!$D$66:$F$66,I$79)</f>
        <v>0.4</v>
      </c>
      <c r="J192" s="11" t="n">
        <f aca="false">INDEX(Asumsi!$D$66:$F$66,J$79)</f>
        <v>0.4</v>
      </c>
      <c r="K192" s="11" t="n">
        <f aca="false">INDEX(Asumsi!$D$66:$F$66,K$79)</f>
        <v>0.4</v>
      </c>
      <c r="L192" s="11" t="n">
        <f aca="false">INDEX(Asumsi!$D$66:$F$66,L$79)</f>
        <v>0.4</v>
      </c>
    </row>
    <row r="193" customFormat="false" ht="15" hidden="false" customHeight="false" outlineLevel="0" collapsed="false">
      <c r="B193" s="4" t="s">
        <v>629</v>
      </c>
      <c r="C193" s="9" t="n">
        <f aca="false">INDEX(Asumsi!$D$67:$F$67,C$79)</f>
        <v>10000</v>
      </c>
      <c r="D193" s="9" t="n">
        <f aca="false">INDEX(Asumsi!$D$67:$F$67,D$79)</f>
        <v>10000</v>
      </c>
      <c r="E193" s="9" t="n">
        <f aca="false">INDEX(Asumsi!$D$67:$F$67,E$79)</f>
        <v>10000</v>
      </c>
      <c r="F193" s="9" t="n">
        <f aca="false">INDEX(Asumsi!$D$67:$F$67,F$79)</f>
        <v>10000</v>
      </c>
      <c r="G193" s="9" t="n">
        <f aca="false">INDEX(Asumsi!$D$67:$F$67,G$79)</f>
        <v>10000</v>
      </c>
      <c r="H193" s="9" t="n">
        <f aca="false">INDEX(Asumsi!$D$67:$F$67,H$79)</f>
        <v>10000</v>
      </c>
      <c r="I193" s="9" t="n">
        <f aca="false">INDEX(Asumsi!$D$67:$F$67,I$79)</f>
        <v>10000</v>
      </c>
      <c r="J193" s="9" t="n">
        <f aca="false">INDEX(Asumsi!$D$67:$F$67,J$79)</f>
        <v>10000</v>
      </c>
      <c r="K193" s="9" t="n">
        <f aca="false">INDEX(Asumsi!$D$67:$F$67,K$79)</f>
        <v>10000</v>
      </c>
      <c r="L193" s="9" t="n">
        <f aca="false">INDEX(Asumsi!$D$67:$F$67,L$79)</f>
        <v>10000</v>
      </c>
    </row>
    <row r="194" customFormat="false" ht="15" hidden="false" customHeight="false" outlineLevel="0" collapsed="false">
      <c r="B194" s="4" t="s">
        <v>630</v>
      </c>
      <c r="C194" s="11" t="n">
        <f aca="false">INDEX(Asumsi!$D$65:$F$65,C$79)</f>
        <v>0.05</v>
      </c>
      <c r="D194" s="11" t="n">
        <f aca="false">INDEX(Asumsi!$D$65:$F$65,D$79)</f>
        <v>0.05</v>
      </c>
      <c r="E194" s="11" t="n">
        <f aca="false">INDEX(Asumsi!$D$65:$F$65,E$79)</f>
        <v>0.05</v>
      </c>
      <c r="F194" s="11" t="n">
        <f aca="false">INDEX(Asumsi!$D$65:$F$65,F$79)</f>
        <v>0.05</v>
      </c>
      <c r="G194" s="11" t="n">
        <f aca="false">INDEX(Asumsi!$D$65:$F$65,G$79)</f>
        <v>0.05</v>
      </c>
      <c r="H194" s="11" t="n">
        <f aca="false">INDEX(Asumsi!$D$65:$F$65,H$79)</f>
        <v>0.05</v>
      </c>
      <c r="I194" s="11" t="n">
        <f aca="false">INDEX(Asumsi!$D$65:$F$65,I$79)</f>
        <v>0.05</v>
      </c>
      <c r="J194" s="11" t="n">
        <f aca="false">INDEX(Asumsi!$D$65:$F$65,J$79)</f>
        <v>0.05</v>
      </c>
      <c r="K194" s="11" t="n">
        <f aca="false">INDEX(Asumsi!$D$65:$F$65,K$79)</f>
        <v>0.05</v>
      </c>
      <c r="L194" s="11" t="n">
        <f aca="false">INDEX(Asumsi!$D$65:$F$65,L$79)</f>
        <v>0.05</v>
      </c>
    </row>
    <row r="195" customFormat="false" ht="15" hidden="false" customHeight="false" outlineLevel="0" collapsed="false">
      <c r="B195" s="4" t="s">
        <v>631</v>
      </c>
      <c r="C195" s="17" t="n">
        <f aca="false">INDEX(Asumsi!$D$50:$F$50,C$79)</f>
        <v>0.005</v>
      </c>
      <c r="D195" s="17" t="n">
        <f aca="false">INDEX(Asumsi!$D$50:$F$50,D$79)</f>
        <v>0.005</v>
      </c>
      <c r="E195" s="17" t="n">
        <f aca="false">INDEX(Asumsi!$D$50:$F$50,E$79)</f>
        <v>0.005</v>
      </c>
      <c r="F195" s="17" t="n">
        <f aca="false">INDEX(Asumsi!$D$50:$F$50,F$79)</f>
        <v>0.005</v>
      </c>
      <c r="G195" s="17" t="n">
        <f aca="false">INDEX(Asumsi!$D$50:$F$50,G$79)</f>
        <v>0.005</v>
      </c>
      <c r="H195" s="17" t="n">
        <f aca="false">INDEX(Asumsi!$D$50:$F$50,H$79)</f>
        <v>0.005</v>
      </c>
      <c r="I195" s="17" t="n">
        <f aca="false">INDEX(Asumsi!$D$50:$F$50,I$79)</f>
        <v>0.005</v>
      </c>
      <c r="J195" s="17" t="n">
        <f aca="false">INDEX(Asumsi!$D$50:$F$50,J$79)</f>
        <v>0.005</v>
      </c>
      <c r="K195" s="17" t="n">
        <f aca="false">INDEX(Asumsi!$D$50:$F$50,K$79)</f>
        <v>0.005</v>
      </c>
      <c r="L195" s="17" t="n">
        <f aca="false">INDEX(Asumsi!$D$50:$F$50,L$79)</f>
        <v>0.005</v>
      </c>
    </row>
    <row r="196" customFormat="false" ht="15" hidden="false" customHeight="false" outlineLevel="0" collapsed="false">
      <c r="B196" s="4" t="s">
        <v>632</v>
      </c>
      <c r="C196" s="9" t="n">
        <f aca="false">INDEX(Asumsi!$D$49:$F$49,C$79)</f>
        <v>25</v>
      </c>
      <c r="D196" s="9" t="n">
        <f aca="false">INDEX(Asumsi!$D$49:$F$49,D$79)</f>
        <v>25</v>
      </c>
      <c r="E196" s="9" t="n">
        <f aca="false">INDEX(Asumsi!$D$49:$F$49,E$79)</f>
        <v>25</v>
      </c>
      <c r="F196" s="9" t="n">
        <f aca="false">INDEX(Asumsi!$D$49:$F$49,F$79)</f>
        <v>25</v>
      </c>
      <c r="G196" s="9" t="n">
        <f aca="false">INDEX(Asumsi!$D$49:$F$49,G$79)</f>
        <v>25</v>
      </c>
      <c r="H196" s="9" t="n">
        <f aca="false">INDEX(Asumsi!$D$49:$F$49,H$79)</f>
        <v>25</v>
      </c>
      <c r="I196" s="9" t="n">
        <f aca="false">INDEX(Asumsi!$D$49:$F$49,I$79)</f>
        <v>25</v>
      </c>
      <c r="J196" s="9" t="n">
        <f aca="false">INDEX(Asumsi!$D$49:$F$49,J$79)</f>
        <v>25</v>
      </c>
      <c r="K196" s="9" t="n">
        <f aca="false">INDEX(Asumsi!$D$49:$F$49,K$79)</f>
        <v>25</v>
      </c>
      <c r="L196" s="9" t="n">
        <f aca="false">INDEX(Asumsi!$D$49:$F$49,L$79)</f>
        <v>25</v>
      </c>
    </row>
    <row r="197" customFormat="false" ht="15" hidden="false" customHeight="false" outlineLevel="0" collapsed="false">
      <c r="B197" s="4" t="s">
        <v>633</v>
      </c>
      <c r="C197" s="9" t="n">
        <f aca="false">INDEX(Asumsi!$D$12:$F$12,C$79)</f>
        <v>17917</v>
      </c>
      <c r="D197" s="9" t="n">
        <f aca="false">INDEX(Asumsi!$D$12:$F$12,D$79)</f>
        <v>17917</v>
      </c>
      <c r="E197" s="9" t="n">
        <f aca="false">INDEX(Asumsi!$D$12:$F$12,E$79)</f>
        <v>17917</v>
      </c>
      <c r="F197" s="9" t="n">
        <f aca="false">INDEX(Asumsi!$D$12:$F$12,F$79)</f>
        <v>17917</v>
      </c>
      <c r="G197" s="9" t="n">
        <f aca="false">INDEX(Asumsi!$D$12:$F$12,G$79)</f>
        <v>17917</v>
      </c>
      <c r="H197" s="9" t="n">
        <f aca="false">INDEX(Asumsi!$D$12:$F$12,H$79)</f>
        <v>17917</v>
      </c>
      <c r="I197" s="9" t="n">
        <f aca="false">INDEX(Asumsi!$D$12:$F$12,I$79)</f>
        <v>17917</v>
      </c>
      <c r="J197" s="9" t="n">
        <f aca="false">INDEX(Asumsi!$D$12:$F$12,J$79)</f>
        <v>17917</v>
      </c>
      <c r="K197" s="9" t="n">
        <f aca="false">INDEX(Asumsi!$D$12:$F$12,K$79)</f>
        <v>17917</v>
      </c>
      <c r="L197" s="9" t="n">
        <f aca="false">INDEX(Asumsi!$D$12:$F$12,L$79)</f>
        <v>17917</v>
      </c>
    </row>
    <row r="198" customFormat="false" ht="15" hidden="false" customHeight="false" outlineLevel="0" collapsed="false">
      <c r="B198" s="4" t="s">
        <v>634</v>
      </c>
      <c r="C198" s="11" t="n">
        <f aca="false">INDEX(Asumsi!$D$69:$F$69,C$79)</f>
        <v>0.04</v>
      </c>
      <c r="D198" s="11" t="n">
        <f aca="false">INDEX(Asumsi!$D$69:$F$69,D$79)</f>
        <v>0.04</v>
      </c>
      <c r="E198" s="11" t="n">
        <f aca="false">INDEX(Asumsi!$D$69:$F$69,E$79)</f>
        <v>0.04</v>
      </c>
      <c r="F198" s="11" t="n">
        <f aca="false">INDEX(Asumsi!$D$69:$F$69,F$79)</f>
        <v>0.04</v>
      </c>
      <c r="G198" s="11" t="n">
        <f aca="false">INDEX(Asumsi!$D$69:$F$69,G$79)</f>
        <v>0.04</v>
      </c>
      <c r="H198" s="11" t="n">
        <f aca="false">INDEX(Asumsi!$D$69:$F$69,H$79)</f>
        <v>0.04</v>
      </c>
      <c r="I198" s="11" t="n">
        <f aca="false">INDEX(Asumsi!$D$69:$F$69,I$79)</f>
        <v>0.04</v>
      </c>
      <c r="J198" s="11" t="n">
        <f aca="false">INDEX(Asumsi!$D$69:$F$69,J$79)</f>
        <v>0.04</v>
      </c>
      <c r="K198" s="11" t="n">
        <f aca="false">INDEX(Asumsi!$D$69:$F$69,K$79)</f>
        <v>0.04</v>
      </c>
      <c r="L198" s="11" t="n">
        <f aca="false">INDEX(Asumsi!$D$69:$F$69,L$79)</f>
        <v>0.04</v>
      </c>
    </row>
    <row r="199" customFormat="false" ht="15" hidden="false" customHeight="false" outlineLevel="0" collapsed="false">
      <c r="B199" s="4" t="s">
        <v>635</v>
      </c>
      <c r="C199" s="9" t="n">
        <f aca="false">CHOOSE(C$79,'Proyeksi 24 Bulan'!$AC$50,'Proyeksi 24 Bulan'!$AC$113,'Proyeksi 24 Bulan'!$AC$176)</f>
        <v>3101.69217162075</v>
      </c>
      <c r="D199" s="9" t="n">
        <f aca="false">CHOOSE(D$79,'Proyeksi 24 Bulan'!$AC$50,'Proyeksi 24 Bulan'!$AC$113,'Proyeksi 24 Bulan'!$AC$176)</f>
        <v>3101.69217162075</v>
      </c>
      <c r="E199" s="9" t="n">
        <f aca="false">CHOOSE(E$79,'Proyeksi 24 Bulan'!$AC$50,'Proyeksi 24 Bulan'!$AC$113,'Proyeksi 24 Bulan'!$AC$176)</f>
        <v>3101.69217162075</v>
      </c>
      <c r="F199" s="9" t="n">
        <f aca="false">CHOOSE(F$79,'Proyeksi 24 Bulan'!$AC$50,'Proyeksi 24 Bulan'!$AC$113,'Proyeksi 24 Bulan'!$AC$176)</f>
        <v>3101.69217162075</v>
      </c>
      <c r="G199" s="9" t="n">
        <f aca="false">CHOOSE(G$79,'Proyeksi 24 Bulan'!$AC$50,'Proyeksi 24 Bulan'!$AC$113,'Proyeksi 24 Bulan'!$AC$176)</f>
        <v>3101.69217162075</v>
      </c>
      <c r="H199" s="9" t="n">
        <f aca="false">CHOOSE(H$79,'Proyeksi 24 Bulan'!$AC$50,'Proyeksi 24 Bulan'!$AC$113,'Proyeksi 24 Bulan'!$AC$176)</f>
        <v>3101.69217162075</v>
      </c>
      <c r="I199" s="9" t="n">
        <f aca="false">CHOOSE(I$79,'Proyeksi 24 Bulan'!$AC$50,'Proyeksi 24 Bulan'!$AC$113,'Proyeksi 24 Bulan'!$AC$176)</f>
        <v>3101.69217162075</v>
      </c>
      <c r="J199" s="9" t="n">
        <f aca="false">CHOOSE(J$79,'Proyeksi 24 Bulan'!$AC$50,'Proyeksi 24 Bulan'!$AC$113,'Proyeksi 24 Bulan'!$AC$176)</f>
        <v>3101.69217162075</v>
      </c>
      <c r="K199" s="9" t="n">
        <f aca="false">CHOOSE(K$79,'Proyeksi 24 Bulan'!$AC$50,'Proyeksi 24 Bulan'!$AC$113,'Proyeksi 24 Bulan'!$AC$176)</f>
        <v>3101.69217162075</v>
      </c>
      <c r="L199" s="9" t="n">
        <f aca="false">CHOOSE(L$79,'Proyeksi 24 Bulan'!$AC$50,'Proyeksi 24 Bulan'!$AC$113,'Proyeksi 24 Bulan'!$AC$176)</f>
        <v>3101.69217162075</v>
      </c>
    </row>
    <row r="200" customFormat="false" ht="15" hidden="false" customHeight="false" outlineLevel="0" collapsed="false">
      <c r="B200" s="4" t="s">
        <v>636</v>
      </c>
      <c r="C200" s="11" t="n">
        <f aca="false">INDEX(Asumsi!$D$89:$F$89,C$79)</f>
        <v>0.1</v>
      </c>
      <c r="D200" s="11" t="n">
        <f aca="false">INDEX(Asumsi!$D$89:$F$89,D$79)</f>
        <v>0.1</v>
      </c>
      <c r="E200" s="11" t="n">
        <f aca="false">INDEX(Asumsi!$D$89:$F$89,E$79)</f>
        <v>0.1</v>
      </c>
      <c r="F200" s="11" t="n">
        <f aca="false">INDEX(Asumsi!$D$89:$F$89,F$79)</f>
        <v>0.1</v>
      </c>
      <c r="G200" s="11" t="n">
        <f aca="false">INDEX(Asumsi!$D$89:$F$89,G$79)</f>
        <v>0.1</v>
      </c>
      <c r="H200" s="11" t="n">
        <f aca="false">INDEX(Asumsi!$D$89:$F$89,H$79)</f>
        <v>0.1</v>
      </c>
      <c r="I200" s="11" t="n">
        <f aca="false">INDEX(Asumsi!$D$89:$F$89,I$79)</f>
        <v>0.1</v>
      </c>
      <c r="J200" s="11" t="n">
        <f aca="false">INDEX(Asumsi!$D$89:$F$89,J$79)</f>
        <v>0.1</v>
      </c>
      <c r="K200" s="11" t="n">
        <f aca="false">INDEX(Asumsi!$D$89:$F$89,K$79)</f>
        <v>0.1</v>
      </c>
      <c r="L200" s="11" t="n">
        <f aca="false">INDEX(Asumsi!$D$89:$F$89,L$79)</f>
        <v>0.1</v>
      </c>
    </row>
    <row r="201" customFormat="false" ht="15" hidden="false" customHeight="false" outlineLevel="0" collapsed="false">
      <c r="B201" s="4" t="s">
        <v>637</v>
      </c>
      <c r="C201" s="11" t="n">
        <f aca="false">INDEX(Asumsi!$D$88:$F$88,C$79)</f>
        <v>0.08</v>
      </c>
      <c r="D201" s="11" t="n">
        <f aca="false">INDEX(Asumsi!$D$88:$F$88,D$79)</f>
        <v>0.08</v>
      </c>
      <c r="E201" s="11" t="n">
        <f aca="false">INDEX(Asumsi!$D$88:$F$88,E$79)</f>
        <v>0.08</v>
      </c>
      <c r="F201" s="11" t="n">
        <f aca="false">INDEX(Asumsi!$D$88:$F$88,F$79)</f>
        <v>0.08</v>
      </c>
      <c r="G201" s="11" t="n">
        <f aca="false">INDEX(Asumsi!$D$88:$F$88,G$79)</f>
        <v>0.08</v>
      </c>
      <c r="H201" s="11" t="n">
        <f aca="false">INDEX(Asumsi!$D$88:$F$88,H$79)</f>
        <v>0.08</v>
      </c>
      <c r="I201" s="11" t="n">
        <f aca="false">INDEX(Asumsi!$D$88:$F$88,I$79)</f>
        <v>0.08</v>
      </c>
      <c r="J201" s="11" t="n">
        <f aca="false">INDEX(Asumsi!$D$88:$F$88,J$79)</f>
        <v>0.08</v>
      </c>
      <c r="K201" s="11" t="n">
        <f aca="false">INDEX(Asumsi!$D$88:$F$88,K$79)</f>
        <v>0.08</v>
      </c>
      <c r="L201" s="11" t="n">
        <f aca="false">INDEX(Asumsi!$D$88:$F$88,L$79)</f>
        <v>0.08</v>
      </c>
    </row>
    <row r="202" customFormat="false" ht="15" hidden="false" customHeight="false" outlineLevel="0" collapsed="false">
      <c r="B202" s="4" t="s">
        <v>638</v>
      </c>
      <c r="C202" s="57" t="n">
        <f aca="false">INDEX(Asumsi!$D$105:$F$105,C$79)</f>
        <v>0.33</v>
      </c>
      <c r="D202" s="57" t="n">
        <f aca="false">INDEX(Asumsi!$D$105:$F$105,D$79)</f>
        <v>0.33</v>
      </c>
      <c r="E202" s="57" t="n">
        <f aca="false">INDEX(Asumsi!$D$105:$F$105,E$79)</f>
        <v>0.33</v>
      </c>
      <c r="F202" s="57" t="n">
        <f aca="false">INDEX(Asumsi!$D$105:$F$105,F$79)</f>
        <v>0.33</v>
      </c>
      <c r="G202" s="57" t="n">
        <f aca="false">INDEX(Asumsi!$D$105:$F$105,G$79)</f>
        <v>0.33</v>
      </c>
      <c r="H202" s="57" t="n">
        <f aca="false">INDEX(Asumsi!$D$105:$F$105,H$79)</f>
        <v>0.33</v>
      </c>
      <c r="I202" s="57" t="n">
        <f aca="false">INDEX(Asumsi!$D$105:$F$105,I$79)</f>
        <v>0.33</v>
      </c>
      <c r="J202" s="57" t="n">
        <f aca="false">INDEX(Asumsi!$D$105:$F$105,J$79)</f>
        <v>0.33</v>
      </c>
      <c r="K202" s="57" t="n">
        <f aca="false">INDEX(Asumsi!$D$105:$F$105,K$79)</f>
        <v>0.33</v>
      </c>
      <c r="L202" s="57" t="n">
        <f aca="false">INDEX(Asumsi!$D$105:$F$105,L$79)</f>
        <v>0.33</v>
      </c>
    </row>
    <row r="203" customFormat="false" ht="15" hidden="false" customHeight="false" outlineLevel="0" collapsed="false">
      <c r="B203" s="4" t="s">
        <v>639</v>
      </c>
      <c r="C203" s="9" t="n">
        <f aca="false">INDEX(Asumsi!$D$87:$F$87,C$79)</f>
        <v>250000</v>
      </c>
      <c r="D203" s="9" t="n">
        <f aca="false">INDEX(Asumsi!$D$87:$F$87,D$79)</f>
        <v>250000</v>
      </c>
      <c r="E203" s="9" t="n">
        <f aca="false">INDEX(Asumsi!$D$87:$F$87,E$79)</f>
        <v>250000</v>
      </c>
      <c r="F203" s="9" t="n">
        <f aca="false">INDEX(Asumsi!$D$87:$F$87,F$79)</f>
        <v>250000</v>
      </c>
      <c r="G203" s="9" t="n">
        <f aca="false">INDEX(Asumsi!$D$87:$F$87,G$79)</f>
        <v>250000</v>
      </c>
      <c r="H203" s="9" t="n">
        <f aca="false">INDEX(Asumsi!$D$87:$F$87,H$79)</f>
        <v>250000</v>
      </c>
      <c r="I203" s="9" t="n">
        <f aca="false">INDEX(Asumsi!$D$87:$F$87,I$79)</f>
        <v>250000</v>
      </c>
      <c r="J203" s="9" t="n">
        <f aca="false">INDEX(Asumsi!$D$87:$F$87,J$79)</f>
        <v>250000</v>
      </c>
      <c r="K203" s="9" t="n">
        <f aca="false">INDEX(Asumsi!$D$87:$F$87,K$79)</f>
        <v>250000</v>
      </c>
      <c r="L203" s="9" t="n">
        <f aca="false">INDEX(Asumsi!$D$87:$F$87,L$79)</f>
        <v>250000</v>
      </c>
    </row>
    <row r="204" customFormat="false" ht="15" hidden="false" customHeight="false" outlineLevel="0" collapsed="false">
      <c r="B204" s="4" t="s">
        <v>640</v>
      </c>
      <c r="C204" s="15" t="n">
        <f aca="false">INDEX(Asumsi!$D$71:$F$71,C$79)</f>
        <v>2</v>
      </c>
      <c r="D204" s="15" t="n">
        <f aca="false">INDEX(Asumsi!$D$71:$F$71,D$79)</f>
        <v>2</v>
      </c>
      <c r="E204" s="15" t="n">
        <f aca="false">INDEX(Asumsi!$D$71:$F$71,E$79)</f>
        <v>2</v>
      </c>
      <c r="F204" s="15" t="n">
        <f aca="false">INDEX(Asumsi!$D$71:$F$71,F$79)</f>
        <v>2</v>
      </c>
      <c r="G204" s="15" t="n">
        <f aca="false">INDEX(Asumsi!$D$71:$F$71,G$79)</f>
        <v>2</v>
      </c>
      <c r="H204" s="15" t="n">
        <f aca="false">INDEX(Asumsi!$D$71:$F$71,H$79)</f>
        <v>2</v>
      </c>
      <c r="I204" s="15" t="n">
        <f aca="false">INDEX(Asumsi!$D$71:$F$71,I$79)</f>
        <v>2</v>
      </c>
      <c r="J204" s="15" t="n">
        <f aca="false">INDEX(Asumsi!$D$71:$F$71,J$79)</f>
        <v>2</v>
      </c>
      <c r="K204" s="15" t="n">
        <f aca="false">INDEX(Asumsi!$D$71:$F$71,K$79)</f>
        <v>2</v>
      </c>
      <c r="L204" s="15" t="n">
        <f aca="false">INDEX(Asumsi!$D$71:$F$71,L$79)</f>
        <v>2</v>
      </c>
    </row>
    <row r="205" customFormat="false" ht="15" hidden="false" customHeight="false" outlineLevel="0" collapsed="false">
      <c r="B205" s="4" t="s">
        <v>641</v>
      </c>
      <c r="C205" s="58" t="n">
        <f aca="false">INDEX(Asumsi!$D$70:$F$70,C$79)</f>
        <v>0.4414</v>
      </c>
      <c r="D205" s="58" t="n">
        <f aca="false">INDEX(Asumsi!$D$70:$F$70,D$79)</f>
        <v>0.4414</v>
      </c>
      <c r="E205" s="58" t="n">
        <f aca="false">INDEX(Asumsi!$D$70:$F$70,E$79)</f>
        <v>0.4414</v>
      </c>
      <c r="F205" s="58" t="n">
        <f aca="false">INDEX(Asumsi!$D$70:$F$70,F$79)</f>
        <v>0.4414</v>
      </c>
      <c r="G205" s="58" t="n">
        <f aca="false">INDEX(Asumsi!$D$70:$F$70,G$79)</f>
        <v>0.4414</v>
      </c>
      <c r="H205" s="58" t="n">
        <f aca="false">INDEX(Asumsi!$D$70:$F$70,H$79)</f>
        <v>0.4414</v>
      </c>
      <c r="I205" s="58" t="n">
        <f aca="false">INDEX(Asumsi!$D$70:$F$70,I$79)</f>
        <v>0.4414</v>
      </c>
      <c r="J205" s="58" t="n">
        <f aca="false">INDEX(Asumsi!$D$70:$F$70,J$79)</f>
        <v>0.4414</v>
      </c>
      <c r="K205" s="58" t="n">
        <f aca="false">INDEX(Asumsi!$D$70:$F$70,K$79)</f>
        <v>0.4414</v>
      </c>
      <c r="L205" s="58" t="n">
        <f aca="false">INDEX(Asumsi!$D$70:$F$70,L$79)</f>
        <v>0.4414</v>
      </c>
    </row>
    <row r="206" customFormat="false" ht="15" hidden="false" customHeight="false" outlineLevel="0" collapsed="false">
      <c r="B206" s="4" t="s">
        <v>642</v>
      </c>
      <c r="C206" s="9" t="n">
        <f aca="false">INDEX(Asumsi!$D$26:$F$26,C$79)</f>
        <v>100000</v>
      </c>
      <c r="D206" s="9" t="n">
        <f aca="false">INDEX(Asumsi!$D$26:$F$26,D$79)</f>
        <v>100000</v>
      </c>
      <c r="E206" s="9" t="n">
        <f aca="false">INDEX(Asumsi!$D$26:$F$26,E$79)</f>
        <v>100000</v>
      </c>
      <c r="F206" s="9" t="n">
        <f aca="false">INDEX(Asumsi!$D$26:$F$26,F$79)</f>
        <v>100000</v>
      </c>
      <c r="G206" s="9" t="n">
        <f aca="false">INDEX(Asumsi!$D$26:$F$26,G$79)</f>
        <v>100000</v>
      </c>
      <c r="H206" s="9" t="n">
        <f aca="false">INDEX(Asumsi!$D$26:$F$26,H$79)</f>
        <v>100000</v>
      </c>
      <c r="I206" s="9" t="n">
        <f aca="false">INDEX(Asumsi!$D$26:$F$26,I$79)</f>
        <v>100000</v>
      </c>
      <c r="J206" s="9" t="n">
        <f aca="false">INDEX(Asumsi!$D$26:$F$26,J$79)</f>
        <v>100000</v>
      </c>
      <c r="K206" s="9" t="n">
        <f aca="false">INDEX(Asumsi!$D$26:$F$26,K$79)</f>
        <v>100000</v>
      </c>
      <c r="L206" s="9" t="n">
        <f aca="false">INDEX(Asumsi!$D$26:$F$26,L$79)</f>
        <v>100000</v>
      </c>
    </row>
    <row r="207" customFormat="false" ht="15" hidden="false" customHeight="false" outlineLevel="0" collapsed="false">
      <c r="B207" s="4" t="s">
        <v>643</v>
      </c>
      <c r="C207" s="9" t="n">
        <f aca="false">INDEX(Asumsi!$D$136:$F$136,C$79)</f>
        <v>5000000</v>
      </c>
      <c r="D207" s="9" t="n">
        <f aca="false">INDEX(Asumsi!$D$136:$F$136,D$79)</f>
        <v>5000000</v>
      </c>
      <c r="E207" s="9" t="n">
        <f aca="false">INDEX(Asumsi!$D$136:$F$136,E$79)</f>
        <v>5000000</v>
      </c>
      <c r="F207" s="9" t="n">
        <f aca="false">INDEX(Asumsi!$D$136:$F$136,F$79)</f>
        <v>5000000</v>
      </c>
      <c r="G207" s="9" t="n">
        <f aca="false">INDEX(Asumsi!$D$136:$F$136,G$79)</f>
        <v>5000000</v>
      </c>
      <c r="H207" s="9" t="n">
        <f aca="false">INDEX(Asumsi!$D$136:$F$136,H$79)</f>
        <v>5000000</v>
      </c>
      <c r="I207" s="9" t="n">
        <f aca="false">INDEX(Asumsi!$D$136:$F$136,I$79)</f>
        <v>5000000</v>
      </c>
      <c r="J207" s="9" t="n">
        <f aca="false">INDEX(Asumsi!$D$136:$F$136,J$79)</f>
        <v>5000000</v>
      </c>
      <c r="K207" s="9" t="n">
        <f aca="false">INDEX(Asumsi!$D$136:$F$136,K$79)</f>
        <v>5000000</v>
      </c>
      <c r="L207" s="9" t="n">
        <f aca="false">INDEX(Asumsi!$D$136:$F$136,L$79)</f>
        <v>5000000</v>
      </c>
    </row>
    <row r="208" customFormat="false" ht="15" hidden="false" customHeight="false" outlineLevel="0" collapsed="false">
      <c r="B208" s="4" t="s">
        <v>644</v>
      </c>
      <c r="C208" s="9" t="n">
        <f aca="false">INDEX(Asumsi!$D$48:$F$48,C$79)</f>
        <v>10000000</v>
      </c>
      <c r="D208" s="9" t="n">
        <f aca="false">INDEX(Asumsi!$D$48:$F$48,D$79)</f>
        <v>10000000</v>
      </c>
      <c r="E208" s="9" t="n">
        <f aca="false">INDEX(Asumsi!$D$48:$F$48,E$79)</f>
        <v>10000000</v>
      </c>
      <c r="F208" s="9" t="n">
        <f aca="false">INDEX(Asumsi!$D$48:$F$48,F$79)</f>
        <v>10000000</v>
      </c>
      <c r="G208" s="9" t="n">
        <f aca="false">INDEX(Asumsi!$D$48:$F$48,G$79)</f>
        <v>10000000</v>
      </c>
      <c r="H208" s="9" t="n">
        <f aca="false">INDEX(Asumsi!$D$48:$F$48,H$79)</f>
        <v>10000000</v>
      </c>
      <c r="I208" s="9" t="n">
        <f aca="false">INDEX(Asumsi!$D$48:$F$48,I$79)</f>
        <v>10000000</v>
      </c>
      <c r="J208" s="9" t="n">
        <f aca="false">INDEX(Asumsi!$D$48:$F$48,J$79)</f>
        <v>10000000</v>
      </c>
      <c r="K208" s="9" t="n">
        <f aca="false">INDEX(Asumsi!$D$48:$F$48,K$79)</f>
        <v>10000000</v>
      </c>
      <c r="L208" s="9" t="n">
        <f aca="false">INDEX(Asumsi!$D$48:$F$48,L$79)</f>
        <v>10000000</v>
      </c>
    </row>
    <row r="209" customFormat="false" ht="15" hidden="false" customHeight="false" outlineLevel="0" collapsed="false">
      <c r="B209" s="4" t="s">
        <v>645</v>
      </c>
      <c r="C209" s="9" t="n">
        <f aca="false">INDEX(Asumsi!$D$133:$F$133,C$79)</f>
        <v>3000000</v>
      </c>
      <c r="D209" s="9" t="n">
        <f aca="false">INDEX(Asumsi!$D$133:$F$133,D$79)</f>
        <v>3000000</v>
      </c>
      <c r="E209" s="9" t="n">
        <f aca="false">INDEX(Asumsi!$D$133:$F$133,E$79)</f>
        <v>3000000</v>
      </c>
      <c r="F209" s="9" t="n">
        <f aca="false">INDEX(Asumsi!$D$133:$F$133,F$79)</f>
        <v>3000000</v>
      </c>
      <c r="G209" s="9" t="n">
        <f aca="false">INDEX(Asumsi!$D$133:$F$133,G$79)</f>
        <v>3000000</v>
      </c>
      <c r="H209" s="9" t="n">
        <f aca="false">INDEX(Asumsi!$D$133:$F$133,H$79)</f>
        <v>3000000</v>
      </c>
      <c r="I209" s="9" t="n">
        <f aca="false">INDEX(Asumsi!$D$133:$F$133,I$79)</f>
        <v>3000000</v>
      </c>
      <c r="J209" s="9" t="n">
        <f aca="false">INDEX(Asumsi!$D$133:$F$133,J$79)</f>
        <v>3000000</v>
      </c>
      <c r="K209" s="9" t="n">
        <f aca="false">INDEX(Asumsi!$D$133:$F$133,K$79)</f>
        <v>3000000</v>
      </c>
      <c r="L209" s="9" t="n">
        <f aca="false">INDEX(Asumsi!$D$133:$F$133,L$79)</f>
        <v>3000000</v>
      </c>
    </row>
    <row r="210" customFormat="false" ht="15" hidden="false" customHeight="false" outlineLevel="0" collapsed="false">
      <c r="B210" s="4" t="s">
        <v>646</v>
      </c>
      <c r="C210" s="9" t="n">
        <f aca="false">INDEX(Asumsi!$D$134:$F$134,C$79)</f>
        <v>15000000</v>
      </c>
      <c r="D210" s="9" t="n">
        <f aca="false">INDEX(Asumsi!$D$134:$F$134,D$79)</f>
        <v>15000000</v>
      </c>
      <c r="E210" s="9" t="n">
        <f aca="false">INDEX(Asumsi!$D$134:$F$134,E$79)</f>
        <v>15000000</v>
      </c>
      <c r="F210" s="9" t="n">
        <f aca="false">INDEX(Asumsi!$D$134:$F$134,F$79)</f>
        <v>15000000</v>
      </c>
      <c r="G210" s="9" t="n">
        <f aca="false">INDEX(Asumsi!$D$134:$F$134,G$79)</f>
        <v>15000000</v>
      </c>
      <c r="H210" s="9" t="n">
        <f aca="false">INDEX(Asumsi!$D$134:$F$134,H$79)</f>
        <v>15000000</v>
      </c>
      <c r="I210" s="9" t="n">
        <f aca="false">INDEX(Asumsi!$D$134:$F$134,I$79)</f>
        <v>15000000</v>
      </c>
      <c r="J210" s="9" t="n">
        <f aca="false">INDEX(Asumsi!$D$134:$F$134,J$79)</f>
        <v>15000000</v>
      </c>
      <c r="K210" s="9" t="n">
        <f aca="false">INDEX(Asumsi!$D$134:$F$134,K$79)</f>
        <v>15000000</v>
      </c>
      <c r="L210" s="9" t="n">
        <f aca="false">INDEX(Asumsi!$D$134:$F$134,L$79)</f>
        <v>15000000</v>
      </c>
    </row>
    <row r="211" customFormat="false" ht="15" hidden="false" customHeight="false" outlineLevel="0" collapsed="false">
      <c r="B211" s="4" t="s">
        <v>647</v>
      </c>
      <c r="C211" s="9" t="n">
        <f aca="false">INDEX(Asumsi!$D$135:$F$135,C$79)</f>
        <v>30000000</v>
      </c>
      <c r="D211" s="9" t="n">
        <f aca="false">INDEX(Asumsi!$D$135:$F$135,D$79)</f>
        <v>30000000</v>
      </c>
      <c r="E211" s="9" t="n">
        <f aca="false">INDEX(Asumsi!$D$135:$F$135,E$79)</f>
        <v>30000000</v>
      </c>
      <c r="F211" s="9" t="n">
        <f aca="false">INDEX(Asumsi!$D$135:$F$135,F$79)</f>
        <v>30000000</v>
      </c>
      <c r="G211" s="9" t="n">
        <f aca="false">INDEX(Asumsi!$D$135:$F$135,G$79)</f>
        <v>30000000</v>
      </c>
      <c r="H211" s="9" t="n">
        <f aca="false">INDEX(Asumsi!$D$135:$F$135,H$79)</f>
        <v>30000000</v>
      </c>
      <c r="I211" s="9" t="n">
        <f aca="false">INDEX(Asumsi!$D$135:$F$135,I$79)</f>
        <v>30000000</v>
      </c>
      <c r="J211" s="9" t="n">
        <f aca="false">INDEX(Asumsi!$D$135:$F$135,J$79)</f>
        <v>30000000</v>
      </c>
      <c r="K211" s="9" t="n">
        <f aca="false">INDEX(Asumsi!$D$135:$F$135,K$79)</f>
        <v>30000000</v>
      </c>
      <c r="L211" s="9" t="n">
        <f aca="false">INDEX(Asumsi!$D$135:$F$135,L$79)</f>
        <v>30000000</v>
      </c>
    </row>
    <row r="213" customFormat="false" ht="15" hidden="false" customHeight="false" outlineLevel="0" collapsed="false">
      <c r="A213" s="2" t="s">
        <v>787</v>
      </c>
    </row>
  </sheetData>
  <conditionalFormatting sqref="C16:K2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80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788</v>
      </c>
    </row>
    <row r="2" customFormat="false" ht="15" hidden="false" customHeight="false" outlineLevel="0" collapsed="false">
      <c r="A2" s="2" t="s">
        <v>789</v>
      </c>
    </row>
    <row r="4" customFormat="false" ht="23.85" hidden="false" customHeight="false" outlineLevel="0" collapsed="false">
      <c r="A4" s="6" t="s">
        <v>790</v>
      </c>
      <c r="B4" s="6" t="s">
        <v>791</v>
      </c>
      <c r="C4" s="6" t="s">
        <v>792</v>
      </c>
      <c r="D4" s="6" t="s">
        <v>793</v>
      </c>
      <c r="E4" s="6" t="s">
        <v>794</v>
      </c>
      <c r="F4" s="6" t="s">
        <v>103</v>
      </c>
    </row>
    <row r="5" customFormat="false" ht="46.25" hidden="false" customHeight="false" outlineLevel="0" collapsed="false">
      <c r="A5" s="44" t="n">
        <v>1</v>
      </c>
      <c r="B5" s="31" t="s">
        <v>795</v>
      </c>
      <c r="C5" s="31" t="s">
        <v>796</v>
      </c>
      <c r="D5" s="31" t="s">
        <v>797</v>
      </c>
      <c r="E5" s="31" t="s">
        <v>798</v>
      </c>
      <c r="F5" s="31" t="s">
        <v>799</v>
      </c>
    </row>
    <row r="6" customFormat="false" ht="23.85" hidden="false" customHeight="false" outlineLevel="0" collapsed="false">
      <c r="A6" s="44" t="n">
        <v>2</v>
      </c>
      <c r="B6" s="31" t="s">
        <v>800</v>
      </c>
      <c r="C6" s="31" t="s">
        <v>801</v>
      </c>
      <c r="D6" s="31" t="s">
        <v>802</v>
      </c>
      <c r="E6" s="31" t="s">
        <v>798</v>
      </c>
      <c r="F6" s="31" t="s">
        <v>803</v>
      </c>
    </row>
    <row r="7" customFormat="false" ht="15" hidden="false" customHeight="false" outlineLevel="0" collapsed="false">
      <c r="A7" s="44" t="n">
        <v>3</v>
      </c>
      <c r="B7" s="31" t="s">
        <v>804</v>
      </c>
      <c r="C7" s="31" t="s">
        <v>805</v>
      </c>
      <c r="D7" s="31" t="s">
        <v>806</v>
      </c>
      <c r="E7" s="31" t="s">
        <v>798</v>
      </c>
      <c r="F7" s="31" t="s">
        <v>803</v>
      </c>
    </row>
    <row r="8" customFormat="false" ht="23.85" hidden="false" customHeight="false" outlineLevel="0" collapsed="false">
      <c r="A8" s="44" t="n">
        <v>4</v>
      </c>
      <c r="B8" s="31" t="s">
        <v>807</v>
      </c>
      <c r="C8" s="31" t="s">
        <v>808</v>
      </c>
      <c r="D8" s="31" t="s">
        <v>809</v>
      </c>
      <c r="E8" s="31" t="s">
        <v>798</v>
      </c>
      <c r="F8" s="31" t="s">
        <v>803</v>
      </c>
    </row>
    <row r="9" customFormat="false" ht="23.85" hidden="false" customHeight="false" outlineLevel="0" collapsed="false">
      <c r="A9" s="44" t="n">
        <v>5</v>
      </c>
      <c r="B9" s="31" t="s">
        <v>810</v>
      </c>
      <c r="C9" s="31" t="s">
        <v>811</v>
      </c>
      <c r="D9" s="31" t="s">
        <v>812</v>
      </c>
      <c r="E9" s="31" t="s">
        <v>798</v>
      </c>
      <c r="F9" s="31" t="s">
        <v>813</v>
      </c>
    </row>
    <row r="10" customFormat="false" ht="23.85" hidden="false" customHeight="false" outlineLevel="0" collapsed="false">
      <c r="A10" s="44" t="n">
        <v>6</v>
      </c>
      <c r="B10" s="31" t="s">
        <v>814</v>
      </c>
      <c r="C10" s="31" t="s">
        <v>815</v>
      </c>
      <c r="D10" s="31" t="s">
        <v>816</v>
      </c>
      <c r="E10" s="31" t="s">
        <v>817</v>
      </c>
      <c r="F10" s="31" t="s">
        <v>818</v>
      </c>
    </row>
    <row r="11" customFormat="false" ht="23.85" hidden="false" customHeight="false" outlineLevel="0" collapsed="false">
      <c r="A11" s="44" t="n">
        <v>7</v>
      </c>
      <c r="B11" s="31" t="s">
        <v>819</v>
      </c>
      <c r="C11" s="31" t="s">
        <v>820</v>
      </c>
      <c r="D11" s="31" t="s">
        <v>821</v>
      </c>
      <c r="E11" s="31" t="s">
        <v>817</v>
      </c>
      <c r="F11" s="31" t="s">
        <v>822</v>
      </c>
    </row>
    <row r="12" customFormat="false" ht="35.05" hidden="false" customHeight="false" outlineLevel="0" collapsed="false">
      <c r="A12" s="44" t="n">
        <v>8</v>
      </c>
      <c r="B12" s="31" t="s">
        <v>823</v>
      </c>
      <c r="C12" s="31" t="s">
        <v>824</v>
      </c>
      <c r="D12" s="31" t="s">
        <v>825</v>
      </c>
      <c r="E12" s="31" t="s">
        <v>798</v>
      </c>
      <c r="F12" s="31" t="s">
        <v>826</v>
      </c>
    </row>
    <row r="13" customFormat="false" ht="23.85" hidden="false" customHeight="false" outlineLevel="0" collapsed="false">
      <c r="A13" s="44" t="n">
        <v>9</v>
      </c>
      <c r="B13" s="31" t="s">
        <v>827</v>
      </c>
      <c r="C13" s="31" t="s">
        <v>828</v>
      </c>
      <c r="D13" s="31" t="s">
        <v>829</v>
      </c>
      <c r="E13" s="31" t="s">
        <v>817</v>
      </c>
      <c r="F13" s="31" t="s">
        <v>830</v>
      </c>
    </row>
    <row r="14" customFormat="false" ht="23.85" hidden="false" customHeight="false" outlineLevel="0" collapsed="false">
      <c r="A14" s="44" t="n">
        <v>10</v>
      </c>
      <c r="B14" s="31" t="s">
        <v>831</v>
      </c>
      <c r="C14" s="31" t="s">
        <v>832</v>
      </c>
      <c r="D14" s="31" t="s">
        <v>833</v>
      </c>
      <c r="E14" s="31" t="s">
        <v>817</v>
      </c>
      <c r="F14" s="31" t="s">
        <v>834</v>
      </c>
    </row>
    <row r="15" customFormat="false" ht="23.85" hidden="false" customHeight="false" outlineLevel="0" collapsed="false">
      <c r="A15" s="44" t="n">
        <v>11</v>
      </c>
      <c r="B15" s="31" t="s">
        <v>835</v>
      </c>
      <c r="C15" s="31" t="s">
        <v>836</v>
      </c>
      <c r="D15" s="31" t="s">
        <v>837</v>
      </c>
      <c r="E15" s="31" t="s">
        <v>798</v>
      </c>
      <c r="F15" s="31" t="s">
        <v>838</v>
      </c>
    </row>
    <row r="16" customFormat="false" ht="23.85" hidden="false" customHeight="false" outlineLevel="0" collapsed="false">
      <c r="A16" s="44" t="n">
        <v>12</v>
      </c>
      <c r="B16" s="31" t="s">
        <v>839</v>
      </c>
      <c r="C16" s="31" t="s">
        <v>840</v>
      </c>
      <c r="D16" s="31" t="s">
        <v>841</v>
      </c>
      <c r="E16" s="31" t="s">
        <v>798</v>
      </c>
      <c r="F16" s="31" t="s">
        <v>803</v>
      </c>
    </row>
    <row r="17" customFormat="false" ht="15" hidden="false" customHeight="false" outlineLevel="0" collapsed="false">
      <c r="A17" s="44" t="n">
        <v>13</v>
      </c>
      <c r="B17" s="31" t="s">
        <v>842</v>
      </c>
      <c r="C17" s="31" t="s">
        <v>843</v>
      </c>
      <c r="D17" s="31" t="s">
        <v>844</v>
      </c>
      <c r="E17" s="31" t="s">
        <v>798</v>
      </c>
      <c r="F17" s="31" t="s">
        <v>845</v>
      </c>
    </row>
    <row r="18" customFormat="false" ht="23.85" hidden="false" customHeight="false" outlineLevel="0" collapsed="false">
      <c r="A18" s="44" t="n">
        <v>14</v>
      </c>
      <c r="B18" s="31" t="s">
        <v>846</v>
      </c>
      <c r="C18" s="31" t="s">
        <v>847</v>
      </c>
      <c r="D18" s="31" t="s">
        <v>848</v>
      </c>
      <c r="E18" s="31" t="s">
        <v>798</v>
      </c>
      <c r="F18" s="31" t="s">
        <v>845</v>
      </c>
    </row>
    <row r="19" customFormat="false" ht="23.85" hidden="false" customHeight="false" outlineLevel="0" collapsed="false">
      <c r="A19" s="44" t="n">
        <v>15</v>
      </c>
      <c r="B19" s="31" t="s">
        <v>849</v>
      </c>
      <c r="C19" s="31" t="s">
        <v>850</v>
      </c>
      <c r="D19" s="31" t="s">
        <v>851</v>
      </c>
      <c r="E19" s="31" t="s">
        <v>798</v>
      </c>
      <c r="F19" s="31" t="s">
        <v>845</v>
      </c>
    </row>
    <row r="20" customFormat="false" ht="15" hidden="false" customHeight="false" outlineLevel="0" collapsed="false">
      <c r="A20" s="44" t="n">
        <v>16</v>
      </c>
      <c r="B20" s="31" t="s">
        <v>852</v>
      </c>
      <c r="C20" s="31" t="s">
        <v>853</v>
      </c>
      <c r="D20" s="31" t="s">
        <v>854</v>
      </c>
      <c r="E20" s="31" t="s">
        <v>798</v>
      </c>
      <c r="F20" s="31" t="s">
        <v>845</v>
      </c>
    </row>
    <row r="21" customFormat="false" ht="15" hidden="false" customHeight="false" outlineLevel="0" collapsed="false">
      <c r="A21" s="44" t="n">
        <v>17</v>
      </c>
      <c r="B21" s="31" t="s">
        <v>855</v>
      </c>
      <c r="C21" s="31" t="s">
        <v>856</v>
      </c>
      <c r="D21" s="31" t="s">
        <v>857</v>
      </c>
      <c r="E21" s="31" t="s">
        <v>798</v>
      </c>
      <c r="F21" s="31" t="s">
        <v>858</v>
      </c>
    </row>
    <row r="22" customFormat="false" ht="23.85" hidden="false" customHeight="false" outlineLevel="0" collapsed="false">
      <c r="A22" s="44" t="n">
        <v>18</v>
      </c>
      <c r="B22" s="31" t="s">
        <v>859</v>
      </c>
      <c r="C22" s="31" t="s">
        <v>860</v>
      </c>
      <c r="D22" s="31" t="s">
        <v>861</v>
      </c>
      <c r="E22" s="31" t="s">
        <v>798</v>
      </c>
      <c r="F22" s="31" t="s">
        <v>862</v>
      </c>
    </row>
    <row r="23" customFormat="false" ht="15" hidden="false" customHeight="false" outlineLevel="0" collapsed="false">
      <c r="A23" s="44" t="n">
        <v>19</v>
      </c>
      <c r="B23" s="31" t="s">
        <v>863</v>
      </c>
      <c r="C23" s="31" t="s">
        <v>864</v>
      </c>
      <c r="D23" s="31" t="s">
        <v>865</v>
      </c>
      <c r="E23" s="31" t="s">
        <v>798</v>
      </c>
      <c r="F23" s="31" t="s">
        <v>866</v>
      </c>
    </row>
    <row r="24" customFormat="false" ht="15" hidden="false" customHeight="false" outlineLevel="0" collapsed="false">
      <c r="A24" s="44" t="n">
        <v>20</v>
      </c>
      <c r="B24" s="31" t="s">
        <v>867</v>
      </c>
      <c r="C24" s="31" t="s">
        <v>868</v>
      </c>
      <c r="D24" s="31" t="s">
        <v>869</v>
      </c>
      <c r="E24" s="31" t="s">
        <v>798</v>
      </c>
      <c r="F24" s="31" t="s">
        <v>803</v>
      </c>
    </row>
    <row r="25" customFormat="false" ht="35.05" hidden="false" customHeight="false" outlineLevel="0" collapsed="false">
      <c r="A25" s="44" t="n">
        <v>21</v>
      </c>
      <c r="B25" s="31" t="s">
        <v>870</v>
      </c>
      <c r="C25" s="31" t="s">
        <v>871</v>
      </c>
      <c r="D25" s="31" t="s">
        <v>872</v>
      </c>
      <c r="E25" s="31" t="s">
        <v>798</v>
      </c>
      <c r="F25" s="31" t="s">
        <v>873</v>
      </c>
    </row>
    <row r="27" customFormat="false" ht="15" hidden="false" customHeight="false" outlineLevel="0" collapsed="false">
      <c r="A27" s="7" t="s">
        <v>874</v>
      </c>
      <c r="B27" s="8"/>
      <c r="C27" s="8"/>
      <c r="D27" s="8"/>
      <c r="E27" s="8"/>
      <c r="F27" s="8"/>
    </row>
    <row r="28" customFormat="false" ht="30" hidden="false" customHeight="true" outlineLevel="0" collapsed="false">
      <c r="A28" s="24" t="s">
        <v>875</v>
      </c>
      <c r="B28" s="24"/>
      <c r="C28" s="24"/>
      <c r="D28" s="24"/>
      <c r="E28" s="24"/>
      <c r="F28" s="24"/>
    </row>
    <row r="29" customFormat="false" ht="30" hidden="false" customHeight="true" outlineLevel="0" collapsed="false">
      <c r="A29" s="24" t="s">
        <v>876</v>
      </c>
      <c r="B29" s="24"/>
      <c r="C29" s="24"/>
      <c r="D29" s="24"/>
      <c r="E29" s="24"/>
      <c r="F29" s="24"/>
    </row>
    <row r="30" customFormat="false" ht="30" hidden="false" customHeight="true" outlineLevel="0" collapsed="false">
      <c r="A30" s="24" t="s">
        <v>877</v>
      </c>
      <c r="B30" s="24"/>
      <c r="C30" s="24"/>
      <c r="D30" s="24"/>
      <c r="E30" s="24"/>
      <c r="F30" s="24"/>
    </row>
    <row r="31" customFormat="false" ht="30" hidden="false" customHeight="true" outlineLevel="0" collapsed="false">
      <c r="A31" s="24" t="s">
        <v>878</v>
      </c>
      <c r="B31" s="24"/>
      <c r="C31" s="24"/>
      <c r="D31" s="24"/>
      <c r="E31" s="24"/>
      <c r="F31" s="24"/>
    </row>
    <row r="32" customFormat="false" ht="30" hidden="false" customHeight="true" outlineLevel="0" collapsed="false">
      <c r="A32" s="24" t="s">
        <v>879</v>
      </c>
      <c r="B32" s="24"/>
      <c r="C32" s="24"/>
      <c r="D32" s="24"/>
      <c r="E32" s="24"/>
      <c r="F32" s="24"/>
    </row>
    <row r="33" customFormat="false" ht="30" hidden="false" customHeight="true" outlineLevel="0" collapsed="false">
      <c r="A33" s="24" t="s">
        <v>880</v>
      </c>
      <c r="B33" s="24"/>
      <c r="C33" s="24"/>
      <c r="D33" s="24"/>
      <c r="E33" s="24"/>
      <c r="F33" s="24"/>
    </row>
    <row r="34" customFormat="false" ht="30" hidden="false" customHeight="true" outlineLevel="0" collapsed="false">
      <c r="A34" s="24" t="s">
        <v>881</v>
      </c>
      <c r="B34" s="24"/>
      <c r="C34" s="24"/>
      <c r="D34" s="24"/>
      <c r="E34" s="24"/>
      <c r="F34" s="24"/>
    </row>
    <row r="35" customFormat="false" ht="30" hidden="false" customHeight="true" outlineLevel="0" collapsed="false">
      <c r="A35" s="24" t="s">
        <v>882</v>
      </c>
      <c r="B35" s="24"/>
      <c r="C35" s="24"/>
      <c r="D35" s="24"/>
      <c r="E35" s="24"/>
      <c r="F35" s="24"/>
    </row>
    <row r="36" customFormat="false" ht="30" hidden="false" customHeight="true" outlineLevel="0" collapsed="false">
      <c r="A36" s="24" t="s">
        <v>883</v>
      </c>
      <c r="B36" s="24"/>
      <c r="C36" s="24"/>
      <c r="D36" s="24"/>
      <c r="E36" s="24"/>
      <c r="F36" s="24"/>
    </row>
    <row r="37" customFormat="false" ht="30" hidden="false" customHeight="true" outlineLevel="0" collapsed="false">
      <c r="A37" s="24" t="s">
        <v>884</v>
      </c>
      <c r="B37" s="24"/>
      <c r="C37" s="24"/>
      <c r="D37" s="24"/>
      <c r="E37" s="24"/>
      <c r="F37" s="24"/>
    </row>
    <row r="38" customFormat="false" ht="30" hidden="false" customHeight="true" outlineLevel="0" collapsed="false">
      <c r="A38" s="24" t="s">
        <v>885</v>
      </c>
      <c r="B38" s="24"/>
      <c r="C38" s="24"/>
      <c r="D38" s="24"/>
      <c r="E38" s="24"/>
      <c r="F38" s="24"/>
    </row>
  </sheetData>
  <mergeCells count="11"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2026-10-04T03:10:05Z</dcterms:created>
  <dc:creator>openpyxl</dc:creator>
  <dc:description/>
  <dc:language>en-US</dc:language>
  <cp:lastModifiedBy/>
  <dcterms:modified xsi:type="dcterms:W3CDTF">2026-10-04T10:10:07Z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